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19c7009b6140fa" /></Relationships>
</file>

<file path=xl/workbook.xml><?xml version="1.0" encoding="utf-8"?>
<x:workbook xmlns:x="http://schemas.openxmlformats.org/spreadsheetml/2006/main">
  <x:sheets>
    <x:sheet xmlns:r="http://schemas.openxmlformats.org/officeDocument/2006/relationships" name="Manual review sample" sheetId="1" r:id="Re21b336e84074e9f"/>
    <x:sheet xmlns:r="http://schemas.openxmlformats.org/officeDocument/2006/relationships" name="Summary" sheetId="2" r:id="Rae40472aa3524f7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yyyy-mm-dd"/>
    <x:numFmt numFmtId="202" formatCode="#,##0"/>
  </x:numFmts>
  <x:fonts count="6">
    <x:font>
      <x:sz val="11"/>
      <x:name val="Carlito"/>
    </x:font>
    <x:font>
      <x:sz val="10"/>
      <x:color rgb="FF24324A"/>
      <x:name val="Aptos"/>
    </x:font>
    <x:font>
      <x:b/>
      <x:sz val="10"/>
      <x:color rgb="FFFFFFFF"/>
      <x:name val="Aptos Display"/>
    </x:font>
    <x:font>
      <x:b/>
      <x:sz val="18"/>
      <x:color rgb="FFFFFFFF"/>
      <x:name val="Aptos Display"/>
    </x:font>
    <x:font>
      <x:b/>
      <x:sz val="11"/>
      <x:color rgb="FF24324A"/>
      <x:name val="Aptos"/>
    </x:font>
    <x:font>
      <x:sz val="11"/>
      <x:color rgb="FF24324A"/>
      <x:name val="Aptos"/>
    </x:font>
  </x:fonts>
  <x:fills count="7">
    <x:fill>
      <x:patternFill patternType="none"/>
    </x:fill>
    <x:fill>
      <x:patternFill patternType="gray125"/>
    </x:fill>
    <x:fill>
      <x:patternFill patternType="solid">
        <x:fgColor rgb="FF24324A"/>
      </x:patternFill>
    </x:fill>
    <x:fill>
      <x:patternFill patternType="solid">
        <x:fgColor rgb="FFFFEAA6"/>
      </x:patternFill>
    </x:fill>
    <x:fill>
      <x:patternFill patternType="solid">
        <x:fgColor rgb="FFFFF8E4"/>
      </x:patternFill>
    </x:fill>
    <x:fill>
      <x:patternFill patternType="solid">
        <x:fgColor rgb="FFF2FBF7"/>
      </x:patternFill>
    </x:fill>
    <x:fill>
      <x:patternFill patternType="solid">
        <x:fgColor rgb="FFE8EEF7"/>
      </x:patternFill>
    </x:fill>
  </x:fills>
  <x:borders count="4">
    <x:border/>
    <x:border>
      <x:bottom style="thin">
        <x:color rgb="FFDED8CF"/>
      </x:bottom>
    </x:border>
    <x:border>
      <x:top style="thin">
        <x:color rgb="FFDED8CF"/>
      </x:top>
      <x:bottom style="thin">
        <x:color rgb="FFDED8CF"/>
      </x:bottom>
    </x:border>
    <x:border>
      <x:top style="thin">
        <x:color rgb="FFDED8CF"/>
      </x:top>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2" xfId="0" applyNumberFormat="1" applyFont="1" applyFill="1" applyBorder="1" applyAlignment="1">
      <x:alignment vertical="top"/>
    </x:xf>
    <x:xf numFmtId="0" fontId="1" fillId="0" borderId="3"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200" fontId="1" fillId="0" borderId="2" xfId="0" applyNumberFormat="1" applyFont="1" applyFill="1" applyBorder="1" applyAlignment="1">
      <x:alignment vertical="top"/>
    </x:xf>
    <x:xf numFmtId="200" fontId="1" fillId="0" borderId="3" xfId="0" applyNumberFormat="1" applyFont="1" applyFill="1" applyBorder="1" applyAlignment="1">
      <x:alignment vertical="top"/>
    </x:xf>
    <x:xf numFmtId="201" fontId="1" fillId="0" borderId="2" xfId="0" applyNumberFormat="1" applyFont="1" applyFill="1" applyBorder="1" applyAlignment="1">
      <x:alignment vertical="top"/>
    </x:xf>
    <x:xf numFmtId="201" fontId="1" fillId="0" borderId="3" xfId="0" applyNumberFormat="1" applyFont="1" applyFill="1" applyBorder="1" applyAlignment="1">
      <x:alignment vertical="top"/>
    </x:xf>
    <x:xf numFmtId="0" fontId="1" fillId="3" borderId="2" xfId="0" applyNumberFormat="1" applyFont="1" applyFill="1" applyBorder="1" applyAlignment="1">
      <x:alignment vertical="top"/>
    </x:xf>
    <x:xf numFmtId="0" fontId="1" fillId="3" borderId="3" xfId="0" applyNumberFormat="1" applyFont="1" applyFill="1" applyBorder="1" applyAlignment="1">
      <x:alignment vertical="top"/>
    </x:xf>
    <x:xf numFmtId="0" fontId="1" fillId="4" borderId="2" xfId="0" applyNumberFormat="1" applyFont="1" applyFill="1" applyBorder="1" applyAlignment="1">
      <x:alignment vertical="top" wrapText="1"/>
    </x:xf>
    <x:xf numFmtId="0" fontId="1" fillId="4" borderId="3" xfId="0" applyNumberFormat="1" applyFont="1" applyFill="1" applyBorder="1" applyAlignment="1">
      <x:alignment vertical="top" wrapText="1"/>
    </x:xf>
    <x:xf numFmtId="0" fontId="1" fillId="5" borderId="2" xfId="0" applyNumberFormat="1" applyFont="1" applyFill="1" applyBorder="1" applyAlignment="1">
      <x:alignment vertical="top"/>
    </x:xf>
    <x:xf numFmtId="201" fontId="1" fillId="5" borderId="2" xfId="0" applyNumberFormat="1" applyFont="1" applyFill="1" applyBorder="1" applyAlignment="1">
      <x:alignment vertical="top"/>
    </x:xf>
    <x:xf numFmtId="0" fontId="1" fillId="5" borderId="2" xfId="0" applyNumberFormat="1" applyFont="1" applyFill="1" applyBorder="1" applyAlignment="1">
      <x:alignment vertical="top" wrapText="1"/>
    </x:xf>
    <x:xf numFmtId="0" fontId="1" fillId="5" borderId="3" xfId="0" applyNumberFormat="1" applyFont="1" applyFill="1" applyBorder="1" applyAlignment="1">
      <x:alignment vertical="top"/>
    </x:xf>
    <x:xf numFmtId="201" fontId="1" fillId="5" borderId="3" xfId="0" applyNumberFormat="1" applyFont="1" applyFill="1" applyBorder="1" applyAlignment="1">
      <x:alignment vertical="top"/>
    </x:xf>
    <x:xf numFmtId="0" fontId="1" fillId="5" borderId="3"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4" fillId="6" borderId="1" xfId="0" applyNumberFormat="1" applyFont="1" applyFill="1" applyBorder="1"/>
    <x:xf numFmtId="0" fontId="5" fillId="0" borderId="1" xfId="0" applyNumberFormat="1" applyFont="1" applyFill="1" applyBorder="1" applyAlignment="1">
      <x:alignment wrapText="1"/>
    </x:xf>
    <x:xf numFmtId="0" fontId="4" fillId="6" borderId="2" xfId="0" applyNumberFormat="1" applyFont="1" applyFill="1" applyBorder="1"/>
    <x:xf numFmtId="0" fontId="5" fillId="0" borderId="2" xfId="0" applyNumberFormat="1" applyFont="1" applyFill="1" applyBorder="1" applyAlignment="1">
      <x:alignment wrapText="1"/>
    </x:xf>
    <x:xf numFmtId="0" fontId="4" fillId="6" borderId="3" xfId="0" applyNumberFormat="1" applyFont="1" applyFill="1" applyBorder="1"/>
    <x:xf numFmtId="0" fontId="5" fillId="0" borderId="3" xfId="0" applyNumberFormat="1" applyFont="1" applyFill="1" applyBorder="1" applyAlignment="1">
      <x:alignment wrapText="1"/>
    </x:xf>
    <x:xf numFmtId="202" fontId="5" fillId="0" borderId="2" xfId="0" applyNumberFormat="1" applyFont="1" applyFill="1" applyBorder="1" applyAlignment="1">
      <x:alignment wrapText="1"/>
    </x:xf>
  </x:cellXfs>
  <x:cellStyles count="1">
    <x:cellStyle name="Normal" xfId="0"/>
  </x:cellStyles>
  <x:dxfs count="2">
    <x:dxf>
      <x:font>
        <x:color rgb="FFA63D3D"/>
      </x:font>
      <x:fill>
        <x:patternFill patternType="solid">
          <x:bgColor rgb="FFFDEAEA"/>
        </x:patternFill>
      </x:fill>
    </x:dxf>
    <x:dxf>
      <x:font>
        <x:color rgb="FF16725F"/>
      </x:font>
      <x:fill>
        <x:patternFill patternType="solid">
          <x:bgColor rgb="FFE4F6F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e89cf18c7f54b4f" /><Relationship Type="http://schemas.openxmlformats.org/officeDocument/2006/relationships/theme" Target="/xl/theme/theme1.xml" Id="R5efbe6f4a634497a" /><Relationship Type="http://schemas.openxmlformats.org/officeDocument/2006/relationships/sharedStrings" Target="/xl/sharedStrings.xml" Id="Rf27bdd13d6224b22" /><Relationship Type="http://schemas.openxmlformats.org/officeDocument/2006/relationships/worksheet" Target="/xl/worksheets/sheet1.xml" Id="Re21b336e84074e9f" /><Relationship Type="http://schemas.openxmlformats.org/officeDocument/2006/relationships/worksheet" Target="/xl/worksheets/sheet2.xml" Id="Rae40472aa3524f71" /></Relationships>
</file>

<file path=xl/tables/table1.xml><?xml version="1.0" encoding="utf-8"?>
<x:table xmlns:x="http://schemas.openxmlformats.org/spreadsheetml/2006/main" id="1" name="RemapManualReviewSample" displayName="RemapManualReviewSample" ref="A1:AH101" headerRowCount="1" totalsRowCount="0" totalsRowShown="0">
  <x:autoFilter ref="A1:AH101"/>
  <x:tableColumns count="34">
    <x:tableColumn id="1" name="question ID"/>
    <x:tableColumn id="2" name="remap candidate ID"/>
    <x:tableColumn id="3" name="sentence ID"/>
    <x:tableColumn id="4" name="genre"/>
    <x:tableColumn id="5" name="source corpus"/>
    <x:tableColumn id="6" name="difficulty"/>
    <x:tableColumn id="7" name="sentence"/>
    <x:tableColumn id="8" name="highlighted target"/>
    <x:tableColumn id="9" name="mode"/>
    <x:tableColumn id="10" name="subskill"/>
    <x:tableColumn id="11" name="dimension"/>
    <x:tableColumn id="12" name="proposed answer"/>
    <x:tableColumn id="13" name="four options"/>
    <x:tableColumn id="14" name="explanation"/>
    <x:tableColumn id="15" name="confidence"/>
    <x:tableColumn id="16" name="remap profile"/>
    <x:tableColumn id="17" name="profile SHA-256"/>
    <x:tableColumn id="18" name="formal rule ID"/>
    <x:tableColumn id="19" name="decision class"/>
    <x:tableColumn id="20" name="formal action"/>
    <x:tableColumn id="21" name="source case IDs"/>
    <x:tableColumn id="22" name="matched Stanza evidence"/>
    <x:tableColumn id="23" name="Stanza version"/>
    <x:tableColumn id="24" name="model bundle SHA-256"/>
    <x:tableColumn id="25" name="review status"/>
    <x:tableColumn id="26" name="review reason"/>
    <x:tableColumn id="27" name="review category"/>
    <x:tableColumn id="28" name="accept / correct / reject"/>
    <x:tableColumn id="29" name="corrected target"/>
    <x:tableColumn id="30" name="corrected answer"/>
    <x:tableColumn id="31" name="corrected explanation"/>
    <x:tableColumn id="32" name="reviewer"/>
    <x:tableColumn id="33" name="review date"/>
    <x:tableColumn id="34" name="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a23067532f04cc0" /></Relationships>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21.25" hidden="0" customWidth="1"/>
    <x:col min="3" max="3" width="23.1299991607666" hidden="0" customWidth="1"/>
    <x:col min="4" max="4" width="11.880000114440918" hidden="0" customWidth="1"/>
    <x:col min="5" max="5" width="10.630000114440918" hidden="0" customWidth="1"/>
    <x:col min="6" max="6" width="11.880000114440918" hidden="0" customWidth="1"/>
    <x:col min="7" max="7" width="52.5" hidden="0" customWidth="1"/>
    <x:col min="8" max="8" width="27.5" hidden="0" customWidth="1"/>
    <x:col min="9" max="9" width="18.1299991607666" hidden="0" customWidth="1"/>
    <x:col min="10" max="10" width="18.1299991607666" hidden="0" customWidth="1"/>
    <x:col min="11" max="11" width="18.1299991607666" hidden="0" customWidth="1"/>
    <x:col min="12" max="12" width="23.75" hidden="0" customWidth="1"/>
    <x:col min="13" max="13" width="32.5" hidden="0" customWidth="1"/>
    <x:col min="14" max="14" width="48.75" hidden="0" customWidth="1"/>
    <x:col min="15" max="15" width="10.630000114440918" hidden="0" customWidth="1"/>
    <x:col min="16" max="16" width="13.75" hidden="0" customWidth="1"/>
    <x:col min="17" max="17" width="30" hidden="0" customWidth="1"/>
    <x:col min="18" max="18" width="23.75" hidden="0" customWidth="1"/>
    <x:col min="19" max="19" width="13.75" hidden="0" customWidth="1"/>
    <x:col min="20" max="20" width="11.25" hidden="0" customWidth="1"/>
    <x:col min="21" max="21" width="18.75" hidden="0" customWidth="1"/>
    <x:col min="22" max="22" width="40" hidden="0" customWidth="1"/>
    <x:col min="23" max="23" width="11.880000114440918" hidden="0" customWidth="1"/>
    <x:col min="24" max="24" width="30" hidden="0" customWidth="1"/>
    <x:col min="25" max="25" width="15.630000114440918" hidden="0" customWidth="1"/>
    <x:col min="26" max="26" width="40" hidden="0" customWidth="1"/>
    <x:col min="27" max="27" width="15" hidden="0" customWidth="1"/>
    <x:col min="28" max="28" width="20.6299991607666" hidden="0" customWidth="1"/>
    <x:col min="29" max="29" width="22.5" hidden="0" customWidth="1"/>
    <x:col min="30" max="30" width="22.5" hidden="0" customWidth="1"/>
    <x:col min="31" max="31" width="45" hidden="0" customWidth="1"/>
    <x:col min="32" max="32" width="15.630000114440918" hidden="0" customWidth="1"/>
    <x:col min="33" max="33" width="13.130000114440918" hidden="0" customWidth="1"/>
    <x:col min="34" max="34" width="35" hidden="0" customWidth="1"/>
  </x:cols>
  <x:sheetData>
    <x:row r="1" ht="28.5" customHeight="1">
      <x:c r="A1" s="9" t="str">
        <x:v>question ID</x:v>
      </x:c>
      <x:c r="B1" s="9" t="str">
        <x:v>remap candidate ID</x:v>
      </x:c>
      <x:c r="C1" s="9" t="str">
        <x:v>sentence ID</x:v>
      </x:c>
      <x:c r="D1" s="9" t="str">
        <x:v>genre</x:v>
      </x:c>
      <x:c r="E1" s="9" t="str">
        <x:v>source corpus</x:v>
      </x:c>
      <x:c r="F1" s="9" t="str">
        <x:v>difficulty</x:v>
      </x:c>
      <x:c r="G1" s="9" t="str">
        <x:v>sentence</x:v>
      </x:c>
      <x:c r="H1" s="9" t="str">
        <x:v>highlighted target</x:v>
      </x:c>
      <x:c r="I1" s="9" t="str">
        <x:v>mode</x:v>
      </x:c>
      <x:c r="J1" s="9" t="str">
        <x:v>subskill</x:v>
      </x:c>
      <x:c r="K1" s="9" t="str">
        <x:v>dimension</x:v>
      </x:c>
      <x:c r="L1" s="9" t="str">
        <x:v>proposed answer</x:v>
      </x:c>
      <x:c r="M1" s="9" t="str">
        <x:v>four options</x:v>
      </x:c>
      <x:c r="N1" s="9" t="str">
        <x:v>explanation</x:v>
      </x:c>
      <x:c r="O1" s="9" t="str">
        <x:v>confidence</x:v>
      </x:c>
      <x:c r="P1" s="9" t="str">
        <x:v>remap profile</x:v>
      </x:c>
      <x:c r="Q1" s="9" t="str">
        <x:v>profile SHA-256</x:v>
      </x:c>
      <x:c r="R1" s="9" t="str">
        <x:v>formal rule ID</x:v>
      </x:c>
      <x:c r="S1" s="9" t="str">
        <x:v>decision class</x:v>
      </x:c>
      <x:c r="T1" s="9" t="str">
        <x:v>formal action</x:v>
      </x:c>
      <x:c r="U1" s="9" t="str">
        <x:v>source case IDs</x:v>
      </x:c>
      <x:c r="V1" s="9" t="str">
        <x:v>matched Stanza evidence</x:v>
      </x:c>
      <x:c r="W1" s="9" t="str">
        <x:v>Stanza version</x:v>
      </x:c>
      <x:c r="X1" s="9" t="str">
        <x:v>model bundle SHA-256</x:v>
      </x:c>
      <x:c r="Y1" s="9" t="str">
        <x:v>review status</x:v>
      </x:c>
      <x:c r="Z1" s="9" t="str">
        <x:v>review reason</x:v>
      </x:c>
      <x:c r="AA1" s="9" t="str">
        <x:v>review category</x:v>
      </x:c>
      <x:c r="AB1" s="9" t="str">
        <x:v>accept / correct / reject</x:v>
      </x:c>
      <x:c r="AC1" s="9" t="str">
        <x:v>corrected target</x:v>
      </x:c>
      <x:c r="AD1" s="9" t="str">
        <x:v>corrected answer</x:v>
      </x:c>
      <x:c r="AE1" s="9" t="str">
        <x:v>corrected explanation</x:v>
      </x:c>
      <x:c r="AF1" s="9" t="str">
        <x:v>reviewer</x:v>
      </x:c>
      <x:c r="AG1" s="9" t="str">
        <x:v>review date</x:v>
      </x:c>
      <x:c r="AH1" s="9" t="str">
        <x:v>note</x:v>
      </x:c>
    </x:row>
    <x:row r="2">
      <x:c r="A2" s="4" t="str">
        <x:v>AUTO-CLAUSE-TYPE-ba00a1f34587e311</x:v>
      </x:c>
      <x:c r="B2" s="4" t="str">
        <x:v>REMAP-1f9ec8631d5ed4144e2c</x:v>
      </x:c>
      <x:c r="C2" s="4" t="str">
        <x:v>masc-blog-blog-anti-terrorist-s0011</x:v>
      </x:c>
      <x:c r="D2" s="4" t="str">
        <x:v>blog</x:v>
      </x:c>
      <x:c r="E2" s="4" t="str">
        <x:v>MASC</x:v>
      </x:c>
      <x:c r="F2" s="4" t="str">
        <x:v>intermediate</x:v>
      </x:c>
      <x:c r="G2" s="10" t="str">
        <x:v>The terrorists could strike any time they choose, through any of
the numerous loopholes so well reported in our media.</x:v>
      </x:c>
      <x:c r="H2" s="10" t="str">
        <x:v>The terrorists could strike any time … through any of
the numerous loopholes</x:v>
      </x:c>
      <x:c r="I2" s="4" t="str">
        <x:v>clauses</x:v>
      </x:c>
      <x:c r="J2" s="4" t="str">
        <x:v>Clause type</x:v>
      </x:c>
      <x:c r="K2" s="4" t="str">
        <x:v>clause_type</x:v>
      </x:c>
      <x:c r="L2" s="4" t="str">
        <x:v>Main clause</x:v>
      </x:c>
      <x:c r="M2" s="10" t="str">
        <x:v>Main clause
Purpose adverbial clause
Restrictive relative clause — function: PostM
Nominal clause — postmodifier of an adjective</x:v>
      </x:c>
      <x:c r="N2" s="10" t="str">
        <x:v>The highlighted clause is the independent main clause of the sentence.</x:v>
      </x:c>
      <x:c r="O2" s="12" t="n">
        <x:v>0.58</x:v>
      </x:c>
      <x:c r="P2" s="4" t="str">
        <x:v>en-1.0.0</x:v>
      </x:c>
      <x:c r="Q2" s="4" t="str">
        <x:v>5cee51d8a950b2e9bdf7133a6d97dcd20d2258c6fbb61e9d97b64b8e7249178d</x:v>
      </x:c>
      <x:c r="R2" s="4" t="str">
        <x:v>clause.main.complex.review</x:v>
      </x:c>
      <x:c r="S2" s="4" t="str">
        <x:v>manual-review</x:v>
      </x:c>
      <x:c r="T2" s="4" t="str">
        <x:v>review</x:v>
      </x:c>
      <x:c r="U2" s="10" t="str">
        <x:v>CL-MAIN-01</x:v>
      </x:c>
      <x:c r="V2" s="10" t="str">
        <x:v>{"adapter_rule_id":"clause-main-complex-review","deprels":["amod","aux","case","det","nmod","nsubj","obj","obl","root"],"target_strategy":"clause-subtree","token_ids":[1,2,3,4,5,6,10,11,12,13,14,15],"upos":["ADJ","ADP","AUX","DET","NOUN","VERB"],"xpos":["DT","IN","JJ","MD","NN","NNS","VB"]}</x:v>
      </x:c>
      <x:c r="W2" s="4" t="str">
        <x:v>1.14.0</x:v>
      </x:c>
      <x:c r="X2" s="4" t="str">
        <x:v>51f32c3b4b77d2a460e8aeaeb653dbd240ad270b7f8b42110f509ff87c483711</x:v>
      </x:c>
      <x:c r="Y2" s="4" t="str">
        <x:v>needs-review</x:v>
      </x:c>
      <x:c r="Z2" s="10" t="str">
        <x:v>Nested clause boundaries make the matrix clause discontinuous; confirm the teaching highlight.</x:v>
      </x:c>
      <x:c r="AA2" s="4" t="str">
        <x:v>manual guard</x:v>
      </x:c>
      <x:c r="AB2" s="16" t="str"/>
      <x:c r="AC2" s="18" t="str"/>
      <x:c r="AD2" s="18" t="str"/>
      <x:c r="AE2" s="18" t="str"/>
      <x:c r="AF2" s="20" t="str"/>
      <x:c r="AG2" s="21"/>
      <x:c r="AH2" s="22" t="str">
        <x:v>Nested clause boundaries make the matrix clause discontinuous; confirm the teaching highlight.</x:v>
      </x:c>
    </x:row>
    <x:row r="3">
      <x:c r="A3" s="4" t="str">
        <x:v>AUTO-SENTENCE-ELEMENT-9e09e46ef7a21ea6</x:v>
      </x:c>
      <x:c r="B3" s="4" t="str">
        <x:v>REMAP-65511a3f5adf8ef2ecbe</x:v>
      </x:c>
      <x:c r="C3" s="4" t="str">
        <x:v>masc-email-email-9066-s0012</x:v>
      </x:c>
      <x:c r="D3" s="4" t="str">
        <x:v>email</x:v>
      </x:c>
      <x:c r="E3" s="4" t="str">
        <x:v>MASC</x:v>
      </x:c>
      <x:c r="F3" s="4" t="str">
        <x:v>intermediate</x:v>
      </x:c>
      <x:c r="G3" s="10" t="str">
        <x:v>Kay Chapman explained that Dave's schedule would keep him out of pocket until August 16.</x:v>
      </x:c>
      <x:c r="H3" s="10" t="str">
        <x:v>out of pocket</x:v>
      </x:c>
      <x:c r="I3" s="4" t="str">
        <x:v>sentence-elements</x:v>
      </x:c>
      <x:c r="J3" s="4" t="str">
        <x:v>Sentence elements</x:v>
      </x:c>
      <x:c r="K3" s="4" t="str">
        <x:v>sentence_element</x:v>
      </x:c>
      <x:c r="L3" s="4" t="str">
        <x:v>Context needed</x:v>
      </x:c>
      <x:c r="M3" s="10" t="str">
        <x:v>Context needed
A — Adverbial
P — Predicator
Formal S + Postponed S</x:v>
      </x:c>
      <x:c r="N3" s="10" t="str">
        <x:v>The available sentence permits more than one defensible attachment or function, so a manual decision is required.</x:v>
      </x:c>
      <x:c r="O3" s="12" t="n">
        <x:v>0.45</x:v>
      </x:c>
      <x:c r="P3" s="4" t="str">
        <x:v>en-1.0.0</x:v>
      </x:c>
      <x:c r="Q3" s="4" t="str">
        <x:v>5cee51d8a950b2e9bdf7133a6d97dcd20d2258c6fbb61e9d97b64b8e7249178d</x:v>
      </x:c>
      <x:c r="R3" s="4" t="str">
        <x:v>se.ambiguous.pp.review.review.context-needed-pp-attachment-is-ambiguous-</x:v>
      </x:c>
      <x:c r="S3" s="4" t="str">
        <x:v>manual-review</x:v>
      </x:c>
      <x:c r="T3" s="4" t="str">
        <x:v>review</x:v>
      </x:c>
      <x:c r="U3" s="10" t="str">
        <x:v>REVIEW-01</x:v>
      </x:c>
      <x:c r="V3" s="10" t="str">
        <x:v>{"adapter_rule_id":"se-ambiguous-pp-review","deprels":["case","obl"],"target_strategy":"anchor-subtree","token_ids":[11,12,13],"upos":["ADP","NOUN"],"xpos":["IN","NN"]}</x:v>
      </x:c>
      <x:c r="W3" s="4" t="str">
        <x:v>1.14.0</x:v>
      </x:c>
      <x:c r="X3" s="4" t="str">
        <x:v>51f32c3b4b77d2a460e8aeaeb653dbd240ad270b7f8b42110f509ff87c483711</x:v>
      </x:c>
      <x:c r="Y3" s="4" t="str">
        <x:v>needs-review</x:v>
      </x:c>
      <x:c r="Z3" s="10" t="str">
        <x:v>Incompatible formal rules matched the same sentence/dimension/target: Context needed, OC — Object Complement</x:v>
      </x:c>
      <x:c r="AA3" s="4" t="str">
        <x:v>conflict</x:v>
      </x:c>
      <x:c r="AB3" s="16" t="str"/>
      <x:c r="AC3" s="18" t="str"/>
      <x:c r="AD3" s="18" t="str"/>
      <x:c r="AE3" s="18" t="str"/>
      <x:c r="AF3" s="20" t="str"/>
      <x:c r="AG3" s="21"/>
      <x:c r="AH3" s="22" t="str">
        <x:v>Incompatible formal rules matched the same sentence/dimension/target: Context needed, OC — Object Complement</x:v>
      </x:c>
    </x:row>
    <x:row r="4">
      <x:c r="A4" s="4" t="str">
        <x:v>AUTO-CLAUSE-STRUCTURE-e13e2f61f2220b8e</x:v>
      </x:c>
      <x:c r="B4" s="4" t="str">
        <x:v>REMAP-547813a8df0dfc0a6d14</x:v>
      </x:c>
      <x:c r="C4" s="4" t="str">
        <x:v>masc-blog-blog-sucker-s0005</x:v>
      </x:c>
      <x:c r="D4" s="4" t="str">
        <x:v>blog</x:v>
      </x:c>
      <x:c r="E4" s="4" t="str">
        <x:v>MASC</x:v>
      </x:c>
      <x:c r="F4" s="4" t="str">
        <x:v>advanced</x:v>
      </x:c>
      <x:c r="G4" s="10" t="str">
        <x:v>First the holocaust survivor who said she was literally
raised by wolves turns out to be just a regular, if depressed, person.</x:v>
      </x:c>
      <x:c r="H4" s="10" t="str">
        <x:v>if depressed</x:v>
      </x:c>
      <x:c r="I4" s="4" t="str">
        <x:v>clauses</x:v>
      </x:c>
      <x:c r="J4" s="4" t="str">
        <x:v>Clause structure</x:v>
      </x:c>
      <x:c r="K4" s="4" t="str">
        <x:v>clause_structure</x:v>
      </x:c>
      <x:c r="L4" s="4" t="str">
        <x:v>Reduced / verbless clause</x:v>
      </x:c>
      <x:c r="M4" s="10" t="str">
        <x:v>Reduced / verbless clause
Comparative clause
-ing clause
Bare infinitival clause</x:v>
      </x:c>
      <x:c r="N4" s="10" t="str">
        <x:v>The highlighted subordinate unit is reduced and has no overt finite verb.</x:v>
      </x:c>
      <x:c r="O4" s="12" t="n">
        <x:v>0.58</x:v>
      </x:c>
      <x:c r="P4" s="4" t="str">
        <x:v>en-1.0.0</x:v>
      </x:c>
      <x:c r="Q4" s="4" t="str">
        <x:v>5cee51d8a950b2e9bdf7133a6d97dcd20d2258c6fbb61e9d97b64b8e7249178d</x:v>
      </x:c>
      <x:c r="R4" s="4" t="str">
        <x:v>structure.reduced.review</x:v>
      </x:c>
      <x:c r="S4" s="4" t="str">
        <x:v>manual-review</x:v>
      </x:c>
      <x:c r="T4" s="4" t="str">
        <x:v>review</x:v>
      </x:c>
      <x:c r="U4" s="10" t="str">
        <x:v>CL-STR-09</x:v>
      </x:c>
      <x:c r="V4" s="10" t="str">
        <x:v>{"adapter_rule_id":"structure-reduced-review","deprels":["advcl","mark"],"target_strategy":"clause-subtree","token_ids":[21,22],"upos":["ADJ","SCONJ"],"xpos":["IN","JJ"]}</x:v>
      </x:c>
      <x:c r="W4" s="4" t="str">
        <x:v>1.14.0</x:v>
      </x:c>
      <x:c r="X4" s="4" t="str">
        <x:v>51f32c3b4b77d2a460e8aeaeb653dbd240ad270b7f8b42110f509ff87c483711</x:v>
      </x:c>
      <x:c r="Y4" s="4" t="str">
        <x:v>needs-review</x:v>
      </x:c>
      <x:c r="Z4" s="10" t="str">
        <x:v>Reduced adjective-based clauses are not represented consistently by automatic dependency parses.</x:v>
      </x:c>
      <x:c r="AA4" s="4" t="str">
        <x:v>manual guard</x:v>
      </x:c>
      <x:c r="AB4" s="16" t="str"/>
      <x:c r="AC4" s="18" t="str"/>
      <x:c r="AD4" s="18" t="str"/>
      <x:c r="AE4" s="18" t="str"/>
      <x:c r="AF4" s="20" t="str"/>
      <x:c r="AG4" s="21"/>
      <x:c r="AH4" s="22" t="str">
        <x:v>Reduced adjective-based clauses are not represented consistently by automatic dependency parses.</x:v>
      </x:c>
    </x:row>
    <x:row r="5">
      <x:c r="A5" s="4" t="str">
        <x:v>AUTO-SENTENCE-ELEMENT-9fb0b93cb11ecc4f</x:v>
      </x:c>
      <x:c r="B5" s="4" t="str">
        <x:v>REMAP-0e536ffe93c382cab364</x:v>
      </x:c>
      <x:c r="C5" s="4" t="str">
        <x:v>masc-essay-essay-bartok-s0124</x:v>
      </x:c>
      <x:c r="D5" s="4" t="str">
        <x:v>essay</x:v>
      </x:c>
      <x:c r="E5" s="4" t="str">
        <x:v>MASC</x:v>
      </x:c>
      <x:c r="F5" s="4" t="str">
        <x:v>intermediate</x:v>
      </x:c>
      <x:c r="G5" s="10" t="str">
        <x:v>Although the C♯ major chord in measure 293, preceded by A♭ major (V) in measure 285, suggests C♯ as tonal center, the tonality is not strongly established until measure 303.</x:v>
      </x:c>
      <x:c r="H5" s="10" t="str">
        <x:v>as tonal center</x:v>
      </x:c>
      <x:c r="I5" s="4" t="str">
        <x:v>sentence-elements</x:v>
      </x:c>
      <x:c r="J5" s="4" t="str">
        <x:v>Sentence elements</x:v>
      </x:c>
      <x:c r="K5" s="4" t="str">
        <x:v>sentence_element</x:v>
      </x:c>
      <x:c r="L5" s="4" t="str">
        <x:v>Context needed</x:v>
      </x:c>
      <x:c r="M5" s="10" t="str">
        <x:v>Context needed
SC — Subject Complement
A — Adverbial
S — Subject</x:v>
      </x:c>
      <x:c r="N5" s="10" t="str">
        <x:v>The available sentence permits more than one defensible attachment or function, so a manual decision is required.</x:v>
      </x:c>
      <x:c r="O5" s="12" t="n">
        <x:v>0.45</x:v>
      </x:c>
      <x:c r="P5" s="4" t="str">
        <x:v>en-1.0.0</x:v>
      </x:c>
      <x:c r="Q5" s="4" t="str">
        <x:v>5cee51d8a950b2e9bdf7133a6d97dcd20d2258c6fbb61e9d97b64b8e7249178d</x:v>
      </x:c>
      <x:c r="R5" s="4" t="str">
        <x:v>se.ambiguous.pp.review.review.context-needed-pp-attachment-is-ambiguous-</x:v>
      </x:c>
      <x:c r="S5" s="4" t="str">
        <x:v>manual-review</x:v>
      </x:c>
      <x:c r="T5" s="4" t="str">
        <x:v>review</x:v>
      </x:c>
      <x:c r="U5" s="10" t="str">
        <x:v>REVIEW-01</x:v>
      </x:c>
      <x:c r="V5" s="10" t="str">
        <x:v>{"adapter_rule_id":"se-ambiguous-pp-review","deprels":["case","compound","obl"],"target_strategy":"anchor-subtree","token_ids":[23,24,25],"upos":["ADP","NOUN"],"xpos":["IN","NN"]}</x:v>
      </x:c>
      <x:c r="W5" s="4" t="str">
        <x:v>1.14.0</x:v>
      </x:c>
      <x:c r="X5" s="4" t="str">
        <x:v>51f32c3b4b77d2a460e8aeaeb653dbd240ad270b7f8b42110f509ff87c483711</x:v>
      </x:c>
      <x:c r="Y5" s="4" t="str">
        <x:v>needs-review</x:v>
      </x:c>
      <x:c r="Z5" s="10" t="str">
        <x:v>PP attachment is ambiguous between event adverbial, nominal modifier, and selected complement.</x:v>
      </x:c>
      <x:c r="AA5" s="4" t="str">
        <x:v>manual guard</x:v>
      </x:c>
      <x:c r="AB5" s="16" t="str"/>
      <x:c r="AC5" s="18" t="str"/>
      <x:c r="AD5" s="18" t="str"/>
      <x:c r="AE5" s="18" t="str"/>
      <x:c r="AF5" s="20" t="str"/>
      <x:c r="AG5" s="21"/>
      <x:c r="AH5" s="22" t="str">
        <x:v>PP attachment is ambiguous between event adverbial, nominal modifier, and selected complement.</x:v>
      </x:c>
    </x:row>
    <x:row r="6">
      <x:c r="A6" s="4" t="str">
        <x:v>AUTO-CLAUSE-TYPE-2c53a3509d116fa5</x:v>
      </x:c>
      <x:c r="B6" s="4" t="str">
        <x:v>REMAP-28bb2c8e09fe545ddf3c</x:v>
      </x:c>
      <x:c r="C6" s="4" t="str">
        <x:v>masc-letters-letters-hsus4-s0030</x:v>
      </x:c>
      <x:c r="D6" s="4" t="str">
        <x:v>letters</x:v>
      </x:c>
      <x:c r="E6" s="4" t="str">
        <x:v>MASC</x:v>
      </x:c>
      <x:c r="F6" s="4" t="str">
        <x:v>advanced</x:v>
      </x:c>
      <x:c r="G6" s="10" t="str">
        <x:v>Please take this moment to be as generous as possible to send your best gift today, and don’t forget to use your free colorful pet stickers and name labels enclosed.</x:v>
      </x:c>
      <x:c r="H6" s="10" t="str">
        <x:v>as possible</x:v>
      </x:c>
      <x:c r="I6" s="4" t="str">
        <x:v>clauses</x:v>
      </x:c>
      <x:c r="J6" s="4" t="str">
        <x:v>Clause type</x:v>
      </x:c>
      <x:c r="K6" s="4" t="str">
        <x:v>clause_type</x:v>
      </x:c>
      <x:c r="L6" s="4" t="str">
        <x:v>Comparative clause — postmodifier of an adjective</x:v>
      </x:c>
      <x:c r="M6" s="10" t="str">
        <x:v>Comparative clause — postmodifier of an adjective
Causal adverbial clause
Adverbial clause — function: A
Dependent verbal question — function: S</x:v>
      </x:c>
      <x:c r="N6" s="10" t="str">
        <x:v>The highlighted comparative clause postmodifies the adjective.</x:v>
      </x:c>
      <x:c r="O6" s="12" t="n">
        <x:v>0.92</x:v>
      </x:c>
      <x:c r="P6" s="4" t="str">
        <x:v>en-1.0.0</x:v>
      </x:c>
      <x:c r="Q6" s="4" t="str">
        <x:v>5cee51d8a950b2e9bdf7133a6d97dcd20d2258c6fbb61e9d97b64b8e7249178d</x:v>
      </x:c>
      <x:c r="R6" s="4" t="str">
        <x:v>clause.comparative.adjective.postmodifier</x:v>
      </x:c>
      <x:c r="S6" s="4" t="str">
        <x:v>manual-review</x:v>
      </x:c>
      <x:c r="T6" s="4" t="str">
        <x:v>review</x:v>
      </x:c>
      <x:c r="U6" s="10" t="str">
        <x:v>CL-ADV-10</x:v>
      </x:c>
      <x:c r="V6" s="10" t="str">
        <x:v>{"adapter_rule_id":"clause-comparative-adjective-postmodifier","deprels":["advcl","mark"],"target_strategy":"clause-subtree","token_ids":[9,10],"upos":["ADJ","SCONJ"],"xpos":["IN","JJ"]}</x:v>
      </x:c>
      <x:c r="W6" s="4" t="str">
        <x:v>1.14.0</x:v>
      </x:c>
      <x:c r="X6" s="4" t="str">
        <x:v>51f32c3b4b77d2a460e8aeaeb653dbd240ad270b7f8b42110f509ff87c483711</x:v>
      </x:c>
      <x:c r="Y6" s="4" t="str">
        <x:v>needs-review</x:v>
      </x:c>
      <x:c r="Z6" s="10" t="str">
        <x:v>The reviewed contract requires human review.</x:v>
      </x:c>
      <x:c r="AA6" s="4" t="str">
        <x:v>manual guard</x:v>
      </x:c>
      <x:c r="AB6" s="16" t="str"/>
      <x:c r="AC6" s="18" t="str"/>
      <x:c r="AD6" s="18" t="str"/>
      <x:c r="AE6" s="18" t="str"/>
      <x:c r="AF6" s="20" t="str"/>
      <x:c r="AG6" s="21"/>
      <x:c r="AH6" s="22" t="str">
        <x:v>The reviewed contract requires human review.</x:v>
      </x:c>
    </x:row>
    <x:row r="7">
      <x:c r="A7" s="4" t="str">
        <x:v>AUTO-SENTENCE-ELEMENT-8983d5979bdb9360</x:v>
      </x:c>
      <x:c r="B7" s="4" t="str">
        <x:v>REMAP-3f4ce5b06a481534f10a</x:v>
      </x:c>
      <x:c r="C7" s="4" t="str">
        <x:v>masc-blog-blog-seedbombing-s0056</x:v>
      </x:c>
      <x:c r="D7" s="4" t="str">
        <x:v>blog</x:v>
      </x:c>
      <x:c r="E7" s="4" t="str">
        <x:v>MASC</x:v>
      </x:c>
      <x:c r="F7" s="4" t="str">
        <x:v>intermediate</x:v>
      </x:c>
      <x:c r="G7" s="10" t="str">
        <x:v>Earth is my friend, like that old classmate who you keep forgetting to drop a note to
on Facebook.</x:v>
      </x:c>
      <x:c r="H7" s="10" t="str">
        <x:v>forgetting to drop a note to
on Facebook</x:v>
      </x:c>
      <x:c r="I7" s="4" t="str">
        <x:v>sentence-elements</x:v>
      </x:c>
      <x:c r="J7" s="4" t="str">
        <x:v>Sentence elements</x:v>
      </x:c>
      <x:c r="K7" s="4" t="str">
        <x:v>sentence_element</x:v>
      </x:c>
      <x:c r="L7" s="4" t="str">
        <x:v>DO — Direct Object</x:v>
      </x:c>
      <x:c r="M7" s="10" t="str">
        <x:v>DO — Direct Object
Formal S + Postponed S
S — Subject
OC — Object Complement</x:v>
      </x:c>
      <x:c r="N7" s="10" t="str">
        <x:v>The highlighted unit is the direct object: it is directly affected by the verb.</x:v>
      </x:c>
      <x:c r="O7" s="12" t="n">
        <x:v>0.58</x:v>
      </x:c>
      <x:c r="P7" s="4" t="str">
        <x:v>en-1.0.0</x:v>
      </x:c>
      <x:c r="Q7" s="4" t="str">
        <x:v>5cee51d8a950b2e9bdf7133a6d97dcd20d2258c6fbb61e9d97b64b8e7249178d</x:v>
      </x:c>
      <x:c r="R7" s="4" t="str">
        <x:v>se.gerund.complement.review</x:v>
      </x:c>
      <x:c r="S7" s="4" t="str">
        <x:v>manual-review</x:v>
      </x:c>
      <x:c r="T7" s="4" t="str">
        <x:v>review</x:v>
      </x:c>
      <x:c r="U7" s="10" t="str">
        <x:v>SE-DO-07</x:v>
      </x:c>
      <x:c r="V7" s="10" t="str">
        <x:v>{"adapter_rule_id":"se-gerund-complement-review","deprels":["advcl","case","det","mark","obj","obl","xcomp"],"target_strategy":"anchor-subtree","token_ids":[13,14,15,16,17,18,19,20],"upos":["ADP","DET","NOUN","PART","PROPN","VERB"],"xpos":["DT","IN","NN","NNP","TO","VB","VBG"]}</x:v>
      </x:c>
      <x:c r="W7" s="4" t="str">
        <x:v>1.14.0</x:v>
      </x:c>
      <x:c r="X7" s="4" t="str">
        <x:v>51f32c3b4b77d2a460e8aeaeb653dbd240ad270b7f8b42110f509ff87c483711</x:v>
      </x:c>
      <x:c r="Y7" s="4" t="str">
        <x:v>needs-review</x:v>
      </x:c>
      <x:c r="Z7" s="10" t="str">
        <x:v>Incompatible formal rules matched the same sentence/dimension/target: DO — Direct Object, OC — Object Complement</x:v>
      </x:c>
      <x:c r="AA7" s="4" t="str">
        <x:v>conflict</x:v>
      </x:c>
      <x:c r="AB7" s="16" t="str"/>
      <x:c r="AC7" s="18" t="str"/>
      <x:c r="AD7" s="18" t="str"/>
      <x:c r="AE7" s="18" t="str"/>
      <x:c r="AF7" s="20" t="str"/>
      <x:c r="AG7" s="21"/>
      <x:c r="AH7" s="22" t="str">
        <x:v>Incompatible formal rules matched the same sentence/dimension/target: DO — Direct Object, OC — Object Complement</x:v>
      </x:c>
    </x:row>
    <x:row r="8">
      <x:c r="A8" s="4" t="str">
        <x:v>AUTO-CLAUSE-MARKER-0763d904d735dc92</x:v>
      </x:c>
      <x:c r="B8" s="4" t="str">
        <x:v>REMAP-8b25111d285027706e15</x:v>
      </x:c>
      <x:c r="C8" s="4" t="str">
        <x:v>masc-travel-travel-whattohongkong-s0028</x:v>
      </x:c>
      <x:c r="D8" s="4" t="str">
        <x:v>travel</x:v>
      </x:c>
      <x:c r="E8" s="4" t="str">
        <x:v>MASC</x:v>
      </x:c>
      <x:c r="F8" s="4" t="str">
        <x:v>basic</x:v>
      </x:c>
      <x:c r="G8" s="10" t="str">
        <x:v>Ask if
        automatic free insurance is provided.</x:v>
      </x:c>
      <x:c r="H8" s="10" t="str">
        <x:v>if</x:v>
      </x:c>
      <x:c r="I8" s="4" t="str">
        <x:v>clauses</x:v>
      </x:c>
      <x:c r="J8" s="4" t="str">
        <x:v>Clause marker</x:v>
      </x:c>
      <x:c r="K8" s="4" t="str">
        <x:v>clause_marker</x:v>
      </x:c>
      <x:c r="L8" s="4" t="str">
        <x:v>Interrogative subordinator</x:v>
      </x:c>
      <x:c r="M8" s="10" t="str">
        <x:v>Interrogative subordinator
Infinitival marker
Preposition
Subordinating conjunction</x:v>
      </x:c>
      <x:c r="N8" s="10" t="str">
        <x:v>The highlighted word introduces an embedded question.</x:v>
      </x:c>
      <x:c r="O8" s="12" t="n">
        <x:v>0.6</x:v>
      </x:c>
      <x:c r="P8" s="4" t="str">
        <x:v>en-1.0.0</x:v>
      </x:c>
      <x:c r="Q8" s="4" t="str">
        <x:v>5cee51d8a950b2e9bdf7133a6d97dcd20d2258c6fbb61e9d97b64b8e7249178d</x:v>
      </x:c>
      <x:c r="R8" s="4" t="str">
        <x:v>marker.interrogative.if.review</x:v>
      </x:c>
      <x:c r="S8" s="4" t="str">
        <x:v>manual-review</x:v>
      </x:c>
      <x:c r="T8" s="4" t="str">
        <x:v>review</x:v>
      </x:c>
      <x:c r="U8" s="10" t="str">
        <x:v>CL-MARK-03</x:v>
      </x:c>
      <x:c r="V8" s="10" t="str">
        <x:v>{"adapter_rule_id":"marker-interrogative-if-review","deprels":["mark"],"target_strategy":"anchor-token","token_ids":[2],"upos":["SCONJ"],"xpos":["IN"]}</x:v>
      </x:c>
      <x:c r="W8" s="4" t="str">
        <x:v>1.14.0</x:v>
      </x:c>
      <x:c r="X8" s="4" t="str">
        <x:v>51f32c3b4b77d2a460e8aeaeb653dbd240ad270b7f8b42110f509ff87c483711</x:v>
      </x:c>
      <x:c r="Y8" s="4" t="str">
        <x:v>needs-review</x:v>
      </x:c>
      <x:c r="Z8" s="10" t="str">
        <x:v>Embedded interrogative if must be distinguished from conditional if using the higher construction.</x:v>
      </x:c>
      <x:c r="AA8" s="4" t="str">
        <x:v>manual guard</x:v>
      </x:c>
      <x:c r="AB8" s="16" t="str"/>
      <x:c r="AC8" s="18" t="str"/>
      <x:c r="AD8" s="18" t="str"/>
      <x:c r="AE8" s="18" t="str"/>
      <x:c r="AF8" s="20" t="str"/>
      <x:c r="AG8" s="21"/>
      <x:c r="AH8" s="22" t="str">
        <x:v>Embedded interrogative if must be distinguished from conditional if using the higher construction.</x:v>
      </x:c>
    </x:row>
    <x:row r="9">
      <x:c r="A9" s="4" t="str">
        <x:v>AUTO-SENTENCE-ELEMENT-00cad039b8ec272e</x:v>
      </x:c>
      <x:c r="B9" s="4" t="str">
        <x:v>REMAP-642918bcfbabef5fd06a</x:v>
      </x:c>
      <x:c r="C9" s="4" t="str">
        <x:v>oanc-letters-icic-108cxl024-s0044</x:v>
      </x:c>
      <x:c r="D9" s="4" t="str">
        <x:v>letters</x:v>
      </x:c>
      <x:c r="E9" s="4" t="str">
        <x:v>OANC</x:v>
      </x:c>
      <x:c r="F9" s="4" t="str">
        <x:v>advanced</x:v>
      </x:c>
      <x:c r="G9" s="10" t="str">
        <x:v>The list of children who want to attend camp this year grows
      longer every day, and it's important that we send every one of them.</x:v>
      </x:c>
      <x:c r="H9" s="10" t="str">
        <x:v>it … that we send every one of them</x:v>
      </x:c>
      <x:c r="I9" s="4" t="str">
        <x:v>sentence-elements</x:v>
      </x:c>
      <x:c r="J9" s="4" t="str">
        <x:v>Sentence elements</x:v>
      </x:c>
      <x:c r="K9" s="4" t="str">
        <x:v>sentence_element</x:v>
      </x:c>
      <x:c r="L9" s="4" t="str">
        <x:v>Formal S + Postponed S</x:v>
      </x:c>
      <x:c r="M9" s="10" t="str">
        <x:v>Formal S + Postponed S
IO — Indirect Object
S — Subject
P — Predicator</x:v>
      </x:c>
      <x:c r="N9" s="10" t="str">
        <x:v>The construction links formal “it” with a postponed clausal subject.</x:v>
      </x:c>
      <x:c r="O9" s="12" t="n">
        <x:v>0.62</x:v>
      </x:c>
      <x:c r="P9" s="4" t="str">
        <x:v>en-1.0.0</x:v>
      </x:c>
      <x:c r="Q9" s="4" t="str">
        <x:v>5cee51d8a950b2e9bdf7133a6d97dcd20d2258c6fbb61e9d97b64b8e7249178d</x:v>
      </x:c>
      <x:c r="R9" s="4" t="str">
        <x:v>se.formal.postponed.subject</x:v>
      </x:c>
      <x:c r="S9" s="4" t="str">
        <x:v>manual-review</x:v>
      </x:c>
      <x:c r="T9" s="4" t="str">
        <x:v>review</x:v>
      </x:c>
      <x:c r="U9" s="10" t="str">
        <x:v>SE-S-06</x:v>
      </x:c>
      <x:c r="V9" s="10" t="str">
        <x:v>{"adapter_rule_id":"se-formal-postponed-subject","deprels":["case","csubj","det","expl","mark","nmod","nsubj","obj"],"target_strategy":"anchor-subtree","token_ids":[18,21,22,23,24,25,26,27],"upos":["ADP","DET","NUM","PRON","SCONJ","VERB"],"xpos":["CD","DT","IN","PRP","VBP"]}</x:v>
      </x:c>
      <x:c r="W9" s="4" t="str">
        <x:v>1.14.0</x:v>
      </x:c>
      <x:c r="X9" s="4" t="str">
        <x:v>51f32c3b4b77d2a460e8aeaeb653dbd240ad270b7f8b42110f509ff87c483711</x:v>
      </x:c>
      <x:c r="Y9" s="4" t="str">
        <x:v>needs-review</x:v>
      </x:c>
      <x:c r="Z9" s="10" t="str">
        <x:v>Formal it and the postponed clause must be confirmed as two linked subject annotations.</x:v>
      </x:c>
      <x:c r="AA9" s="4" t="str">
        <x:v>manual guard</x:v>
      </x:c>
      <x:c r="AB9" s="16" t="str"/>
      <x:c r="AC9" s="18" t="str"/>
      <x:c r="AD9" s="18" t="str"/>
      <x:c r="AE9" s="18" t="str"/>
      <x:c r="AF9" s="20" t="str"/>
      <x:c r="AG9" s="21"/>
      <x:c r="AH9" s="22" t="str">
        <x:v>Formal it and the postponed clause must be confirmed as two linked subject annotations.</x:v>
      </x:c>
    </x:row>
    <x:row r="10">
      <x:c r="A10" s="4" t="str">
        <x:v>AUTO-CLAUSE-FUNCTION-630ecd40adf3d666</x:v>
      </x:c>
      <x:c r="B10" s="4" t="str">
        <x:v>REMAP-60e4cb47f9f3121f2b6b</x:v>
      </x:c>
      <x:c r="C10" s="4" t="str">
        <x:v>masc-newspaper-newspaper-nytnewswire6-s0034</x:v>
      </x:c>
      <x:c r="D10" s="4" t="str">
        <x:v>newspaper</x:v>
      </x:c>
      <x:c r="E10" s="4" t="str">
        <x:v>MASC</x:v>
      </x:c>
      <x:c r="F10" s="4" t="str">
        <x:v>advanced</x:v>
      </x:c>
      <x:c r="G10" s="10" t="str">
        <x:v>But Child is not one to get maudlin about the past, though
she does want to keep it alive.</x:v>
      </x:c>
      <x:c r="H10" s="10" t="str">
        <x:v>alive</x:v>
      </x:c>
      <x:c r="I10" s="4" t="str">
        <x:v>clauses</x:v>
      </x:c>
      <x:c r="J10" s="4" t="str">
        <x:v>Clause function</x:v>
      </x:c>
      <x:c r="K10" s="4" t="str">
        <x:v>clause_function</x:v>
      </x:c>
      <x:c r="L10" s="4" t="str">
        <x:v>OC / Clausal object</x:v>
      </x:c>
      <x:c r="M10" s="10" t="str">
        <x:v>OC / Clausal object
DO — Direct Object
PostM — Postmodifier
SC — Subject Complement</x:v>
      </x:c>
      <x:c r="N10" s="10" t="str">
        <x:v>The highlighted non-finite clause requires the course analysis used for object complementation.</x:v>
      </x:c>
      <x:c r="O10" s="12" t="n">
        <x:v>0.6</x:v>
      </x:c>
      <x:c r="P10" s="4" t="str">
        <x:v>en-1.0.0</x:v>
      </x:c>
      <x:c r="Q10" s="4" t="str">
        <x:v>5cee51d8a950b2e9bdf7133a6d97dcd20d2258c6fbb61e9d97b64b8e7249178d</x:v>
      </x:c>
      <x:c r="R10" s="4" t="str">
        <x:v>function.clause.object.complement.review.review.oc-clausal-object-the-non-finite-clause-ca</x:v>
      </x:c>
      <x:c r="S10" s="4" t="str">
        <x:v>manual-review</x:v>
      </x:c>
      <x:c r="T10" s="4" t="str">
        <x:v>review</x:v>
      </x:c>
      <x:c r="U10" s="10" t="str">
        <x:v>CL-FUNC-06</x:v>
      </x:c>
      <x:c r="V10" s="10" t="str">
        <x:v>{"adapter_rule_id":"function-clause-object-complement-review","deprels":["xcomp"],"target_strategy":"clause-subtree","token_ids":[20],"upos":["ADJ"],"xpos":["JJ"]}</x:v>
      </x:c>
      <x:c r="W10" s="4" t="str">
        <x:v>1.14.0</x:v>
      </x:c>
      <x:c r="X10" s="4" t="str">
        <x:v>51f32c3b4b77d2a460e8aeaeb653dbd240ad270b7f8b42110f509ff87c483711</x:v>
      </x:c>
      <x:c r="Y10" s="4" t="str">
        <x:v>needs-review</x:v>
      </x:c>
      <x:c r="Z10" s="10" t="str">
        <x:v>The non-finite clause can be analysed as OC or a clausal object depending on the teaching convention.</x:v>
      </x:c>
      <x:c r="AA10" s="4" t="str">
        <x:v>manual guard</x:v>
      </x:c>
      <x:c r="AB10" s="16" t="str"/>
      <x:c r="AC10" s="18" t="str"/>
      <x:c r="AD10" s="18" t="str"/>
      <x:c r="AE10" s="18" t="str"/>
      <x:c r="AF10" s="20" t="str"/>
      <x:c r="AG10" s="21"/>
      <x:c r="AH10" s="22" t="str">
        <x:v>The non-finite clause can be analysed as OC or a clausal object depending on the teaching convention.</x:v>
      </x:c>
    </x:row>
    <x:row r="11">
      <x:c r="A11" s="4" t="str">
        <x:v>AUTO-SENTENCE-ELEMENT-b21d4c4feb418cb5</x:v>
      </x:c>
      <x:c r="B11" s="4" t="str">
        <x:v>REMAP-8cde6cd69ed90355d371</x:v>
      </x:c>
      <x:c r="C11" s="4" t="str">
        <x:v>oanc-technical-plos-pmed-0020028-s0002</x:v>
      </x:c>
      <x:c r="D11" s="4" t="str">
        <x:v>technical</x:v>
      </x:c>
      <x:c r="E11" s="4" t="str">
        <x:v>OANC</x:v>
      </x:c>
      <x:c r="F11" s="4" t="str">
        <x:v>basic</x:v>
      </x:c>
      <x:c r="G11" s="10" t="str">
        <x:v>She
        suggests moving ahead with “ABCs” and with “D” for diagnosis and “R” for responsibility.</x:v>
      </x:c>
      <x:c r="H11" s="10" t="str">
        <x:v>with “ABCs” and with “D … and “R” for responsibility</x:v>
      </x:c>
      <x:c r="I11" s="4" t="str">
        <x:v>sentence-elements</x:v>
      </x:c>
      <x:c r="J11" s="4" t="str">
        <x:v>Sentence elements</x:v>
      </x:c>
      <x:c r="K11" s="4" t="str">
        <x:v>sentence_element</x:v>
      </x:c>
      <x:c r="L11" s="4" t="str">
        <x:v>A — Adverbial</x:v>
      </x:c>
      <x:c r="M11" s="10" t="str">
        <x:v>A — Adverbial
SC — Subject Complement
IO — Indirect Object
S — Subject</x:v>
      </x:c>
      <x:c r="N11" s="10" t="str">
        <x:v>The highlighted unit adds circumstantial information to the clause.</x:v>
      </x:c>
      <x:c r="O11" s="12" t="n">
        <x:v>0.55</x:v>
      </x:c>
      <x:c r="P11" s="4" t="str">
        <x:v>en-1.0.0</x:v>
      </x:c>
      <x:c r="Q11" s="4" t="str">
        <x:v>5cee51d8a950b2e9bdf7133a6d97dcd20d2258c6fbb61e9d97b64b8e7249178d</x:v>
      </x:c>
      <x:c r="R11" s="4" t="str">
        <x:v>se.ambiguous.pp.review.review.a-adverbial-a-technical-oblique-relation-d</x:v>
      </x:c>
      <x:c r="S11" s="4" t="str">
        <x:v>manual-review</x:v>
      </x:c>
      <x:c r="T11" s="4" t="str">
        <x:v>review</x:v>
      </x:c>
      <x:c r="U11" s="10" t="str">
        <x:v>REVIEW-01</x:v>
      </x:c>
      <x:c r="V11" s="10" t="str">
        <x:v>{"adapter_rule_id":"se-ambiguous-pp-review","deprels":["case","cc","conj","nmod","obl","punct"],"target_strategy":"anchor-subtree","token_ids":[5,6,7,8,9,10,11,12,16,17,18,19,20,21],"upos":["ADP","CCONJ","NOUN","PUNCT"],"xpos":["''","CC","IN","NN","NNS","``"]}</x:v>
      </x:c>
      <x:c r="W11" s="4" t="str">
        <x:v>1.14.0</x:v>
      </x:c>
      <x:c r="X11" s="4" t="str">
        <x:v>51f32c3b4b77d2a460e8aeaeb653dbd240ad270b7f8b42110f509ff87c483711</x:v>
      </x:c>
      <x:c r="Y11" s="4" t="str">
        <x:v>needs-review</x:v>
      </x:c>
      <x:c r="Z11" s="10" t="str">
        <x:v>A technical oblique relation does not decide whether the phrase is an adverbial or selected complement.</x:v>
      </x:c>
      <x:c r="AA11" s="4" t="str">
        <x:v>manual guard</x:v>
      </x:c>
      <x:c r="AB11" s="16" t="str"/>
      <x:c r="AC11" s="18" t="str"/>
      <x:c r="AD11" s="18" t="str"/>
      <x:c r="AE11" s="18" t="str"/>
      <x:c r="AF11" s="20" t="str"/>
      <x:c r="AG11" s="21"/>
      <x:c r="AH11" s="22" t="str">
        <x:v>A technical oblique relation does not decide whether the phrase is an adverbial or selected complement.</x:v>
      </x:c>
    </x:row>
    <x:row r="12">
      <x:c r="A12" s="4" t="str">
        <x:v>AUTO-SENTENCE-ELEMENT-62aad0f9873bb5e3</x:v>
      </x:c>
      <x:c r="B12" s="4" t="str">
        <x:v>REMAP-6a52d83d89a540df8f4c</x:v>
      </x:c>
      <x:c r="C12" s="4" t="str">
        <x:v>masc-email-email-lists-003-2137010-s0020</x:v>
      </x:c>
      <x:c r="D12" s="4" t="str">
        <x:v>email</x:v>
      </x:c>
      <x:c r="E12" s="4" t="str">
        <x:v>MASC</x:v>
      </x:c>
      <x:c r="F12" s="4" t="str">
        <x:v>basic</x:v>
      </x:c>
      <x:c r="G12" s="10" t="str">
        <x:v>For the former,  use  Base64  encoding when needed.</x:v>
      </x:c>
      <x:c r="H12" s="10" t="str">
        <x:v>when needed</x:v>
      </x:c>
      <x:c r="I12" s="4" t="str">
        <x:v>sentence-elements</x:v>
      </x:c>
      <x:c r="J12" s="4" t="str">
        <x:v>Sentence elements</x:v>
      </x:c>
      <x:c r="K12" s="4" t="str">
        <x:v>sentence_element</x:v>
      </x:c>
      <x:c r="L12" s="4" t="str">
        <x:v>A — Adverbial</x:v>
      </x:c>
      <x:c r="M12" s="10" t="str">
        <x:v>A — Adverbial
Context needed
S — Subject
Operator</x:v>
      </x:c>
      <x:c r="N12" s="10" t="str">
        <x:v>The highlighted unit adds circumstantial information to the clause.</x:v>
      </x:c>
      <x:c r="O12" s="12" t="n">
        <x:v>0.6</x:v>
      </x:c>
      <x:c r="P12" s="4" t="str">
        <x:v>en-1.0.0</x:v>
      </x:c>
      <x:c r="Q12" s="4" t="str">
        <x:v>5cee51d8a950b2e9bdf7133a6d97dcd20d2258c6fbb61e9d97b64b8e7249178d</x:v>
      </x:c>
      <x:c r="R12" s="4" t="str">
        <x:v>se.adverbial.clause.review</x:v>
      </x:c>
      <x:c r="S12" s="4" t="str">
        <x:v>manual-review</x:v>
      </x:c>
      <x:c r="T12" s="4" t="str">
        <x:v>review</x:v>
      </x:c>
      <x:c r="U12" s="10" t="str">
        <x:v>SE-A-06
SE-A-07</x:v>
      </x:c>
      <x:c r="V12" s="10" t="str">
        <x:v>{"adapter_rule_id":"se-adverbial-clause","deprels":["advcl","advmod"],"target_strategy":"anchor-subtree","token_ids":[8,9],"upos":["ADV","VERB"],"xpos":["VBN","WRB"]}</x:v>
      </x:c>
      <x:c r="W12" s="4" t="str">
        <x:v>1.14.0</x:v>
      </x:c>
      <x:c r="X12" s="4" t="str">
        <x:v>51f32c3b4b77d2a460e8aeaeb653dbd240ad270b7f8b42110f509ff87c483711</x:v>
      </x:c>
      <x:c r="Y12" s="4" t="str">
        <x:v>needs-review</x:v>
      </x:c>
      <x:c r="Z12" s="10" t="str">
        <x:v>An unmarked non-finite supplementive clause requires semantic review.</x:v>
      </x:c>
      <x:c r="AA12" s="4" t="str">
        <x:v>manual guard</x:v>
      </x:c>
      <x:c r="AB12" s="16" t="str"/>
      <x:c r="AC12" s="18" t="str"/>
      <x:c r="AD12" s="18" t="str"/>
      <x:c r="AE12" s="18" t="str"/>
      <x:c r="AF12" s="20" t="str"/>
      <x:c r="AG12" s="21"/>
      <x:c r="AH12" s="22" t="str">
        <x:v>An unmarked non-finite supplementive clause requires semantic review.</x:v>
      </x:c>
    </x:row>
    <x:row r="13">
      <x:c r="A13" s="4" t="str">
        <x:v>AUTO-CLAUSE-TYPE-e57a8291bb98d0b5</x:v>
      </x:c>
      <x:c r="B13" s="4" t="str">
        <x:v>REMAP-46aad03e32b34087a8fd</x:v>
      </x:c>
      <x:c r="C13" s="4" t="str">
        <x:v>masc-essay-essay-madame-white-snake-s0036</x:v>
      </x:c>
      <x:c r="D13" s="4" t="str">
        <x:v>essay</x:v>
      </x:c>
      <x:c r="E13" s="4" t="str">
        <x:v>MASC</x:v>
      </x:c>
      <x:c r="F13" s="4" t="str">
        <x:v>advanced</x:v>
      </x:c>
      <x:c r="G13" s="10" t="str">
        <x:v>This is quite similar to the
               expected end for the femme fatal character in films - she is punished in some way so
               that social order and proper gender roles are restored.</x:v>
      </x:c>
      <x:c r="H13" s="10" t="str">
        <x:v>so
               that social order and proper gender roles are restored</x:v>
      </x:c>
      <x:c r="I13" s="4" t="str">
        <x:v>clauses</x:v>
      </x:c>
      <x:c r="J13" s="4" t="str">
        <x:v>Clause type</x:v>
      </x:c>
      <x:c r="K13" s="4" t="str">
        <x:v>clause_type</x:v>
      </x:c>
      <x:c r="L13" s="4" t="str">
        <x:v>Purpose adverbial clause</x:v>
      </x:c>
      <x:c r="M13" s="10" t="str">
        <x:v>Purpose adverbial clause
Negative-conditional adverbial clause
Nominal relative clause — function: S
Nominal clause — function: DO</x:v>
      </x:c>
      <x:c r="N13" s="10" t="str">
        <x:v>The highlighted adverbial clause expresses purpose.</x:v>
      </x:c>
      <x:c r="O13" s="12" t="n">
        <x:v>0.58</x:v>
      </x:c>
      <x:c r="P13" s="4" t="str">
        <x:v>en-1.0.0</x:v>
      </x:c>
      <x:c r="Q13" s="4" t="str">
        <x:v>5cee51d8a950b2e9bdf7133a6d97dcd20d2258c6fbb61e9d97b64b8e7249178d</x:v>
      </x:c>
      <x:c r="R13" s="4" t="str">
        <x:v>clause.purpose.adverbial.review</x:v>
      </x:c>
      <x:c r="S13" s="4" t="str">
        <x:v>manual-review</x:v>
      </x:c>
      <x:c r="T13" s="4" t="str">
        <x:v>review</x:v>
      </x:c>
      <x:c r="U13" s="10" t="str">
        <x:v>CL-ADV-07</x:v>
      </x:c>
      <x:c r="V13" s="10" t="str">
        <x:v>{"adapter_rule_id":"clause-purpose-adverbial","deprels":["advcl","amod","aux:pass","cc","compound","conj","fixed","mark","nsubj:pass"],"target_strategy":"clause-subtree","token_ids":[23,24,25,26,27,28,29,30,31,32],"upos":["ADJ","AUX","CCONJ","NOUN","SCONJ","VERB"],"xpos":["CC","IN","JJ","NN","NNS","VBN","VBP"]}</x:v>
      </x:c>
      <x:c r="W13" s="4" t="str">
        <x:v>1.14.0</x:v>
      </x:c>
      <x:c r="X13" s="4" t="str">
        <x:v>51f32c3b4b77d2a460e8aeaeb653dbd240ad270b7f8b42110f509ff87c483711</x:v>
      </x:c>
      <x:c r="Y13" s="4" t="str">
        <x:v>needs-review</x:v>
      </x:c>
      <x:c r="Z13" s="10" t="str">
        <x:v>So-that clauses require a semantic decision between purpose and result.</x:v>
      </x:c>
      <x:c r="AA13" s="4" t="str">
        <x:v>manual guard</x:v>
      </x:c>
      <x:c r="AB13" s="16" t="str"/>
      <x:c r="AC13" s="18" t="str"/>
      <x:c r="AD13" s="18" t="str"/>
      <x:c r="AE13" s="18" t="str"/>
      <x:c r="AF13" s="20" t="str"/>
      <x:c r="AG13" s="21"/>
      <x:c r="AH13" s="22" t="str">
        <x:v>So-that clauses require a semantic decision between purpose and result.</x:v>
      </x:c>
    </x:row>
    <x:row r="14">
      <x:c r="A14" s="4" t="str">
        <x:v>AUTO-CLAUSE-TYPE-0671a91b65fdfcaa</x:v>
      </x:c>
      <x:c r="B14" s="4" t="str">
        <x:v>REMAP-9f09d76f3bb60bd0c05a</x:v>
      </x:c>
      <x:c r="C14" s="4" t="str">
        <x:v>masc-spoken-spoken-bed012-s0222</x:v>
      </x:c>
      <x:c r="D14" s="4" t="str">
        <x:v>spoken</x:v>
      </x:c>
      <x:c r="E14" s="4" t="str">
        <x:v>MASC</x:v>
      </x:c>
      <x:c r="F14" s="4" t="str">
        <x:v>intermediate</x:v>
      </x:c>
      <x:c r="G14" s="10" t="str">
        <x:v>So, does he wanna know where it  is?</x:v>
      </x:c>
      <x:c r="H14" s="10" t="str">
        <x:v>it  is</x:v>
      </x:c>
      <x:c r="I14" s="4" t="str">
        <x:v>clauses</x:v>
      </x:c>
      <x:c r="J14" s="4" t="str">
        <x:v>Clause type</x:v>
      </x:c>
      <x:c r="K14" s="4" t="str">
        <x:v>clause_type</x:v>
      </x:c>
      <x:c r="L14" s="4" t="str">
        <x:v>Relative clause — function: PostM</x:v>
      </x:c>
      <x:c r="M14" s="10" t="str">
        <x:v>Relative clause — function: PostM
Conditional adverbial clause
Nominal clause — function: SC
Adverbial clause — function: A</x:v>
      </x:c>
      <x:c r="N14" s="10" t="str">
        <x:v>The highlighted relative clause modifies the noun that comes before it.</x:v>
      </x:c>
      <x:c r="O14" s="12" t="n">
        <x:v>0.6</x:v>
      </x:c>
      <x:c r="P14" s="4" t="str">
        <x:v>en-1.0.0</x:v>
      </x:c>
      <x:c r="Q14" s="4" t="str">
        <x:v>5cee51d8a950b2e9bdf7133a6d97dcd20d2258c6fbb61e9d97b64b8e7249178d</x:v>
      </x:c>
      <x:c r="R14" s="4" t="str">
        <x:v>clause.relative.zero.review.review.relative-clause-function-postm-zero-relati</x:v>
      </x:c>
      <x:c r="S14" s="4" t="str">
        <x:v>manual-review</x:v>
      </x:c>
      <x:c r="T14" s="4" t="str">
        <x:v>review</x:v>
      </x:c>
      <x:c r="U14" s="10" t="str">
        <x:v>CL-REL-02
CL-REL-07</x:v>
      </x:c>
      <x:c r="V14" s="10" t="str">
        <x:v>{"adapter_rule_id":"clause-relative-zero-review","deprels":["acl:relcl","nsubj"],"target_strategy":"clause-subtree","token_ids":[9,10],"upos":["AUX","PRON"],"xpos":["PRP","VBZ"]}</x:v>
      </x:c>
      <x:c r="W14" s="4" t="str">
        <x:v>1.14.0</x:v>
      </x:c>
      <x:c r="X14" s="4" t="str">
        <x:v>51f32c3b4b77d2a460e8aeaeb653dbd240ad270b7f8b42110f509ff87c483711</x:v>
      </x:c>
      <x:c r="Y14" s="4" t="str">
        <x:v>needs-review</x:v>
      </x:c>
      <x:c r="Z14" s="10" t="str">
        <x:v>Zero-relative recovery and restrictiveness require review.</x:v>
      </x:c>
      <x:c r="AA14" s="4" t="str">
        <x:v>manual guard</x:v>
      </x:c>
      <x:c r="AB14" s="16" t="str"/>
      <x:c r="AC14" s="18" t="str"/>
      <x:c r="AD14" s="18" t="str"/>
      <x:c r="AE14" s="18" t="str"/>
      <x:c r="AF14" s="20" t="str"/>
      <x:c r="AG14" s="21"/>
      <x:c r="AH14" s="22" t="str">
        <x:v>Zero-relative recovery and restrictiveness require review.</x:v>
      </x:c>
    </x:row>
    <x:row r="15">
      <x:c r="A15" s="4" t="str">
        <x:v>AUTO-CLAUSE-TYPE-a33bea87a66c61ec</x:v>
      </x:c>
      <x:c r="B15" s="4" t="str">
        <x:v>REMAP-06cda89fa5399f8012cf</x:v>
      </x:c>
      <x:c r="C15" s="4" t="str">
        <x:v>masc-blog-blog-fermentation-hr5034-s0103</x:v>
      </x:c>
      <x:c r="D15" s="4" t="str">
        <x:v>blog</x:v>
      </x:c>
      <x:c r="E15" s="4" t="str">
        <x:v>MASC</x:v>
      </x:c>
      <x:c r="F15" s="4" t="str">
        <x:v>advanced</x:v>
      </x:c>
      <x:c r="G15" s="10" t="str">
        <x:v>I will not even waste my
time rebutting you point by point because you do not have a clue in many
instances what you are talking about.</x:v>
      </x:c>
      <x:c r="H15" s="10" t="str">
        <x:v>rebutting you point by point</x:v>
      </x:c>
      <x:c r="I15" s="4" t="str">
        <x:v>clauses</x:v>
      </x:c>
      <x:c r="J15" s="4" t="str">
        <x:v>Clause type</x:v>
      </x:c>
      <x:c r="K15" s="4" t="str">
        <x:v>clause_type</x:v>
      </x:c>
      <x:c r="L15" s="4" t="str">
        <x:v>Adverbial clause — function: A</x:v>
      </x:c>
      <x:c r="M15" s="10" t="str">
        <x:v>Adverbial clause — function: A
Relative clause — function: PostM
Appositive clause
Purpose adverbial clause</x:v>
      </x:c>
      <x:c r="N15" s="10" t="str">
        <x:v>The highlighted clause functions as an adverbial in the larger sentence.</x:v>
      </x:c>
      <x:c r="O15" s="12" t="n">
        <x:v>0.59</x:v>
      </x:c>
      <x:c r="P15" s="4" t="str">
        <x:v>en-1.0.0</x:v>
      </x:c>
      <x:c r="Q15" s="4" t="str">
        <x:v>5cee51d8a950b2e9bdf7133a6d97dcd20d2258c6fbb61e9d97b64b8e7249178d</x:v>
      </x:c>
      <x:c r="R15" s="4" t="str">
        <x:v>clause.generic.adverbial.review</x:v>
      </x:c>
      <x:c r="S15" s="4" t="str">
        <x:v>manual-review</x:v>
      </x:c>
      <x:c r="T15" s="4" t="str">
        <x:v>review</x:v>
      </x:c>
      <x:c r="U15" s="10" t="str">
        <x:v>CL-ADV-14
CL-ADV-15</x:v>
      </x:c>
      <x:c r="V15" s="10" t="str">
        <x:v>{"adapter_rule_id":"clause-generic-adverbial","deprels":["advcl","case","nmod:poss","obj","obl"],"target_strategy":"clause-subtree","token_ids":[8,9,10,11,12],"upos":["ADP","NOUN","PRON","VERB"],"xpos":["IN","NN","PRP$","VBG"]}</x:v>
      </x:c>
      <x:c r="W15" s="4" t="str">
        <x:v>1.14.0</x:v>
      </x:c>
      <x:c r="X15" s="4" t="str">
        <x:v>51f32c3b4b77d2a460e8aeaeb653dbd240ad270b7f8b42110f509ff87c483711</x:v>
      </x:c>
      <x:c r="Y15" s="4" t="str">
        <x:v>needs-review</x:v>
      </x:c>
      <x:c r="Z15" s="10" t="str">
        <x:v>The reduced clause lacks an overt finite verb and requires manual confirmation.</x:v>
      </x:c>
      <x:c r="AA15" s="4" t="str">
        <x:v>manual guard</x:v>
      </x:c>
      <x:c r="AB15" s="16" t="str"/>
      <x:c r="AC15" s="18" t="str"/>
      <x:c r="AD15" s="18" t="str"/>
      <x:c r="AE15" s="18" t="str"/>
      <x:c r="AF15" s="20" t="str"/>
      <x:c r="AG15" s="21"/>
      <x:c r="AH15" s="22" t="str">
        <x:v>The reduced clause lacks an overt finite verb and requires manual confirmation.</x:v>
      </x:c>
    </x:row>
    <x:row r="16">
      <x:c r="A16" s="4" t="str">
        <x:v>AUTO-SENTENCE-ELEMENT-841bb9d99baf39b0</x:v>
      </x:c>
      <x:c r="B16" s="4" t="str">
        <x:v>REMAP-1ecc4153add9558a605a</x:v>
      </x:c>
      <x:c r="C16" s="4" t="str">
        <x:v>masc-travel-travel-historylasvegas-s0028</x:v>
      </x:c>
      <x:c r="D16" s="4" t="str">
        <x:v>travel</x:v>
      </x:c>
      <x:c r="E16" s="4" t="str">
        <x:v>MASC</x:v>
      </x:c>
      <x:c r="F16" s="4" t="str">
        <x:v>basic</x:v>
      </x:c>
      <x:c r="G16" s="10" t="str">
        <x:v>Their
        supplies scarce, their harvest meager, and their spirit broken, they
        abandoned the fort in 1858.</x:v>
      </x:c>
      <x:c r="H16" s="10" t="str">
        <x:v>in 1858</x:v>
      </x:c>
      <x:c r="I16" s="4" t="str">
        <x:v>sentence-elements</x:v>
      </x:c>
      <x:c r="J16" s="4" t="str">
        <x:v>Sentence elements</x:v>
      </x:c>
      <x:c r="K16" s="4" t="str">
        <x:v>sentence_element</x:v>
      </x:c>
      <x:c r="L16" s="4" t="str">
        <x:v>Context needed</x:v>
      </x:c>
      <x:c r="M16" s="10" t="str">
        <x:v>Context needed
SC — Subject Complement
OC — Object Complement
P — Predicator</x:v>
      </x:c>
      <x:c r="N16" s="10" t="str">
        <x:v>The available sentence permits more than one defensible attachment or function, so a manual decision is required.</x:v>
      </x:c>
      <x:c r="O16" s="12" t="n">
        <x:v>0.45</x:v>
      </x:c>
      <x:c r="P16" s="4" t="str">
        <x:v>en-1.0.0</x:v>
      </x:c>
      <x:c r="Q16" s="4" t="str">
        <x:v>5cee51d8a950b2e9bdf7133a6d97dcd20d2258c6fbb61e9d97b64b8e7249178d</x:v>
      </x:c>
      <x:c r="R16" s="4" t="str">
        <x:v>se.ambiguous.pp.review.review.context-needed-pp-attachment-is-ambiguous-</x:v>
      </x:c>
      <x:c r="S16" s="4" t="str">
        <x:v>manual-review</x:v>
      </x:c>
      <x:c r="T16" s="4" t="str">
        <x:v>review</x:v>
      </x:c>
      <x:c r="U16" s="10" t="str">
        <x:v>REVIEW-01</x:v>
      </x:c>
      <x:c r="V16" s="10" t="str">
        <x:v>{"adapter_rule_id":"se-ambiguous-pp-review","deprels":["case","obl"],"target_strategy":"anchor-subtree","token_ids":[18,19],"upos":["ADP","NUM"],"xpos":["CD","IN"]}</x:v>
      </x:c>
      <x:c r="W16" s="4" t="str">
        <x:v>1.14.0</x:v>
      </x:c>
      <x:c r="X16" s="4" t="str">
        <x:v>51f32c3b4b77d2a460e8aeaeb653dbd240ad270b7f8b42110f509ff87c483711</x:v>
      </x:c>
      <x:c r="Y16" s="4" t="str">
        <x:v>needs-review</x:v>
      </x:c>
      <x:c r="Z16" s="10" t="str">
        <x:v>PP attachment is ambiguous between event adverbial, nominal modifier, and selected complement.</x:v>
      </x:c>
      <x:c r="AA16" s="4" t="str">
        <x:v>manual guard</x:v>
      </x:c>
      <x:c r="AB16" s="16" t="str"/>
      <x:c r="AC16" s="18" t="str"/>
      <x:c r="AD16" s="18" t="str"/>
      <x:c r="AE16" s="18" t="str"/>
      <x:c r="AF16" s="20" t="str"/>
      <x:c r="AG16" s="21"/>
      <x:c r="AH16" s="22" t="str">
        <x:v>PP attachment is ambiguous between event adverbial, nominal modifier, and selected complement.</x:v>
      </x:c>
    </x:row>
    <x:row r="17">
      <x:c r="A17" s="4" t="str">
        <x:v>AUTO-CLAUSE-TYPE-f228230cb2114a48</x:v>
      </x:c>
      <x:c r="B17" s="4" t="str">
        <x:v>REMAP-35fe2f93222f81702593</x:v>
      </x:c>
      <x:c r="C17" s="4" t="str">
        <x:v>masc-journal-journal-article247-3500-s0009</x:v>
      </x:c>
      <x:c r="D17" s="4" t="str">
        <x:v>journal</x:v>
      </x:c>
      <x:c r="E17" s="4" t="str">
        <x:v>MASC</x:v>
      </x:c>
      <x:c r="F17" s="4" t="str">
        <x:v>advanced</x:v>
      </x:c>
      <x:c r="G17" s="10" t="str">
        <x:v>Much of
it, of course, using the standards of top newspapers, cannot be used since it
is largely gossip we are repeating, although it certainly could make for some
very good stories.</x:v>
      </x:c>
      <x:c r="H17" s="10" t="str">
        <x:v>we are repeating</x:v>
      </x:c>
      <x:c r="I17" s="4" t="str">
        <x:v>clauses</x:v>
      </x:c>
      <x:c r="J17" s="4" t="str">
        <x:v>Clause type</x:v>
      </x:c>
      <x:c r="K17" s="4" t="str">
        <x:v>clause_type</x:v>
      </x:c>
      <x:c r="L17" s="4" t="str">
        <x:v>Restrictive relative clause — function: PostM</x:v>
      </x:c>
      <x:c r="M17" s="10" t="str">
        <x:v>Restrictive relative clause — function: PostM
Conditional adverbial clause
Manner / comparison adverbial clause
Nominal clause — function: DO</x:v>
      </x:c>
      <x:c r="N17" s="10" t="str">
        <x:v>The highlighted relative clause restricts its antecedent and functions as a postmodifier.</x:v>
      </x:c>
      <x:c r="O17" s="12" t="n">
        <x:v>0.6</x:v>
      </x:c>
      <x:c r="P17" s="4" t="str">
        <x:v>en-1.0.0</x:v>
      </x:c>
      <x:c r="Q17" s="4" t="str">
        <x:v>5cee51d8a950b2e9bdf7133a6d97dcd20d2258c6fbb61e9d97b64b8e7249178d</x:v>
      </x:c>
      <x:c r="R17" s="4" t="str">
        <x:v>clause.relative.zero.review.review.restrictive-relative-clause-function-postm</x:v>
      </x:c>
      <x:c r="S17" s="4" t="str">
        <x:v>manual-review</x:v>
      </x:c>
      <x:c r="T17" s="4" t="str">
        <x:v>review</x:v>
      </x:c>
      <x:c r="U17" s="10" t="str">
        <x:v>CL-REL-02
CL-REL-07</x:v>
      </x:c>
      <x:c r="V17" s="10" t="str">
        <x:v>{"adapter_rule_id":"clause-relative-zero-review","deprels":["acl:relcl","aux","nsubj"],"target_strategy":"clause-subtree","token_ids":[24,25,26],"upos":["AUX","PRON","VERB"],"xpos":["PRP","VBG","VBP"]}</x:v>
      </x:c>
      <x:c r="W17" s="4" t="str">
        <x:v>1.14.0</x:v>
      </x:c>
      <x:c r="X17" s="4" t="str">
        <x:v>51f32c3b4b77d2a460e8aeaeb653dbd240ad270b7f8b42110f509ff87c483711</x:v>
      </x:c>
      <x:c r="Y17" s="4" t="str">
        <x:v>needs-review</x:v>
      </x:c>
      <x:c r="Z17" s="10" t="str">
        <x:v>Zero-relative recovery and restrictiveness require review.</x:v>
      </x:c>
      <x:c r="AA17" s="4" t="str">
        <x:v>manual guard</x:v>
      </x:c>
      <x:c r="AB17" s="16" t="str"/>
      <x:c r="AC17" s="18" t="str"/>
      <x:c r="AD17" s="18" t="str"/>
      <x:c r="AE17" s="18" t="str"/>
      <x:c r="AF17" s="20" t="str"/>
      <x:c r="AG17" s="21"/>
      <x:c r="AH17" s="22" t="str">
        <x:v>Zero-relative recovery and restrictiveness require review.</x:v>
      </x:c>
    </x:row>
    <x:row r="18">
      <x:c r="A18" s="4" t="str">
        <x:v>AUTO-CLAUSE-FUNCTION-16f61a2828b89c1b</x:v>
      </x:c>
      <x:c r="B18" s="4" t="str">
        <x:v>REMAP-058de7a0fcbfb1eedd2b</x:v>
      </x:c>
      <x:c r="C18" s="4" t="str">
        <x:v>masc-letters-letters-marine1-s0031</x:v>
      </x:c>
      <x:c r="D18" s="4" t="str">
        <x:v>letters</x:v>
      </x:c>
      <x:c r="E18" s="4" t="str">
        <x:v>MASC</x:v>
      </x:c>
      <x:c r="F18" s="4" t="str">
        <x:v>advanced</x:v>
      </x:c>
      <x:c r="G18" s="10" t="str">
        <x:v>Of course, your personalized labels are a gift, yours to keep whether or not you
choose to join us.</x:v>
      </x:c>
      <x:c r="H18" s="10" t="str">
        <x:v>whether or not you
choose to join us</x:v>
      </x:c>
      <x:c r="I18" s="4" t="str">
        <x:v>clauses</x:v>
      </x:c>
      <x:c r="J18" s="4" t="str">
        <x:v>Clause function</x:v>
      </x:c>
      <x:c r="K18" s="4" t="str">
        <x:v>clause_function</x:v>
      </x:c>
      <x:c r="L18" s="4" t="str">
        <x:v>DO — Direct Object</x:v>
      </x:c>
      <x:c r="M18" s="10" t="str">
        <x:v>DO — Direct Object
S — Subject
PostM — Postmodifier
SC — Subject Complement</x:v>
      </x:c>
      <x:c r="N18" s="10" t="str">
        <x:v>The highlighted clause functions as the direct object of the higher verb.</x:v>
      </x:c>
      <x:c r="O18" s="12" t="n">
        <x:v>0.58</x:v>
      </x:c>
      <x:c r="P18" s="4" t="str">
        <x:v>en-1.0.0</x:v>
      </x:c>
      <x:c r="Q18" s="4" t="str">
        <x:v>5cee51d8a950b2e9bdf7133a6d97dcd20d2258c6fbb61e9d97b64b8e7249178d</x:v>
      </x:c>
      <x:c r="R18" s="4" t="str">
        <x:v>function.clause.direct.object.review.do-direct-object-the-higher-clause-functio</x:v>
      </x:c>
      <x:c r="S18" s="4" t="str">
        <x:v>manual-review</x:v>
      </x:c>
      <x:c r="T18" s="4" t="str">
        <x:v>review</x:v>
      </x:c>
      <x:c r="U18" s="10" t="str">
        <x:v>CL-FUNC-02</x:v>
      </x:c>
      <x:c r="V18" s="10" t="str">
        <x:v>{"adapter_rule_id":"function-clause-direct-object","deprels":["ccomp","fixed","mark","nsubj","obj","xcomp"],"target_strategy":"clause-subtree","token_ids":[14,15,16,17,18,19,20,21],"upos":["CCONJ","PART","PRON","SCONJ","VERB"],"xpos":["CC","IN","PRP","RB","TO","VB","VBP"]}</x:v>
      </x:c>
      <x:c r="W18" s="4" t="str">
        <x:v>1.14.0</x:v>
      </x:c>
      <x:c r="X18" s="4" t="str">
        <x:v>51f32c3b4b77d2a460e8aeaeb653dbd240ad270b7f8b42110f509ff87c483711</x:v>
      </x:c>
      <x:c r="Y18" s="4" t="str">
        <x:v>needs-review</x:v>
      </x:c>
      <x:c r="Z18" s="10" t="str">
        <x:v>The higher-clause function depends on the matrix predicate.</x:v>
      </x:c>
      <x:c r="AA18" s="4" t="str">
        <x:v>manual guard</x:v>
      </x:c>
      <x:c r="AB18" s="16" t="str"/>
      <x:c r="AC18" s="18" t="str"/>
      <x:c r="AD18" s="18" t="str"/>
      <x:c r="AE18" s="18" t="str"/>
      <x:c r="AF18" s="20" t="str"/>
      <x:c r="AG18" s="21"/>
      <x:c r="AH18" s="22" t="str">
        <x:v>The higher-clause function depends on the matrix predicate.</x:v>
      </x:c>
    </x:row>
    <x:row r="19">
      <x:c r="A19" s="4" t="str">
        <x:v>AUTO-CLAUSE-TYPE-dc71a48f0ae4d609</x:v>
      </x:c>
      <x:c r="B19" s="4" t="str">
        <x:v>REMAP-7f6c1be2ca9e832b2c22</x:v>
      </x:c>
      <x:c r="C19" s="4" t="str">
        <x:v>masc-email-email-175814-s0010</x:v>
      </x:c>
      <x:c r="D19" s="4" t="str">
        <x:v>email</x:v>
      </x:c>
      <x:c r="E19" s="4" t="str">
        <x:v>MASC</x:v>
      </x:c>
      <x:c r="F19" s="4" t="str">
        <x:v>basic</x:v>
      </x:c>
      <x:c r="G19" s="10" t="str">
        <x:v>Sorry that we haven't talked in some time.</x:v>
      </x:c>
      <x:c r="H19" s="10" t="str">
        <x:v>that we haven't talked in some time</x:v>
      </x:c>
      <x:c r="I19" s="4" t="str">
        <x:v>clauses</x:v>
      </x:c>
      <x:c r="J19" s="4" t="str">
        <x:v>Clause type</x:v>
      </x:c>
      <x:c r="K19" s="4" t="str">
        <x:v>clause_type</x:v>
      </x:c>
      <x:c r="L19" s="4" t="str">
        <x:v>Nominal clause — postmodifier of an adjective</x:v>
      </x:c>
      <x:c r="M19" s="10" t="str">
        <x:v>Nominal clause — postmodifier of an adjective
Place / free-choice adverbial clause
Relative clause — function: PostM
Nominal clause — function: SC</x:v>
      </x:c>
      <x:c r="N19" s="10" t="str">
        <x:v>The highlighted clause completes and postmodifies the adjective.</x:v>
      </x:c>
      <x:c r="O19" s="12" t="n">
        <x:v>0.92</x:v>
      </x:c>
      <x:c r="P19" s="4" t="str">
        <x:v>en-1.0.0</x:v>
      </x:c>
      <x:c r="Q19" s="4" t="str">
        <x:v>5cee51d8a950b2e9bdf7133a6d97dcd20d2258c6fbb61e9d97b64b8e7249178d</x:v>
      </x:c>
      <x:c r="R19" s="4" t="str">
        <x:v>clause.nominal.adjective.postmodifier</x:v>
      </x:c>
      <x:c r="S19" s="4" t="str">
        <x:v>manual-review</x:v>
      </x:c>
      <x:c r="T19" s="4" t="str">
        <x:v>review</x:v>
      </x:c>
      <x:c r="U19" s="10" t="str">
        <x:v>CL-NOM-09
CL-NOM-10</x:v>
      </x:c>
      <x:c r="V19" s="10" t="str">
        <x:v>{"adapter_rule_id":"clause-nominal-adjective-postmodifier","deprels":["advmod","aux","case","ccomp","det","mark","nsubj","obl"],"target_strategy":"clause-subtree","token_ids":[2,3,4,5,6,7,8,9],"upos":["ADP","AUX","DET","NOUN","PART","PRON","SCONJ","VERB"],"xpos":["DT","IN","NN","PRP","RB","VBN","VBP"]}</x:v>
      </x:c>
      <x:c r="W19" s="4" t="str">
        <x:v>1.14.0</x:v>
      </x:c>
      <x:c r="X19" s="4" t="str">
        <x:v>51f32c3b4b77d2a460e8aeaeb653dbd240ad270b7f8b42110f509ff87c483711</x:v>
      </x:c>
      <x:c r="Y19" s="4" t="str">
        <x:v>needs-review</x:v>
      </x:c>
      <x:c r="Z19" s="10" t="str">
        <x:v>The reviewed contract requires human review.</x:v>
      </x:c>
      <x:c r="AA19" s="4" t="str">
        <x:v>manual guard</x:v>
      </x:c>
      <x:c r="AB19" s="16" t="str"/>
      <x:c r="AC19" s="18" t="str"/>
      <x:c r="AD19" s="18" t="str"/>
      <x:c r="AE19" s="18" t="str"/>
      <x:c r="AF19" s="20" t="str"/>
      <x:c r="AG19" s="21"/>
      <x:c r="AH19" s="22" t="str">
        <x:v>The reviewed contract requires human review.</x:v>
      </x:c>
    </x:row>
    <x:row r="20">
      <x:c r="A20" s="4" t="str">
        <x:v>AUTO-CLAUSE-FUNCTION-e51db4ed9fd9ecc3</x:v>
      </x:c>
      <x:c r="B20" s="4" t="str">
        <x:v>REMAP-9c753f008869c2fc57e7</x:v>
      </x:c>
      <x:c r="C20" s="4" t="str">
        <x:v>masc-government-government-protocol-regarding-access-s0043</x:v>
      </x:c>
      <x:c r="D20" s="4" t="str">
        <x:v>government</x:v>
      </x:c>
      <x:c r="E20" s="4" t="str">
        <x:v>MASC</x:v>
      </x:c>
      <x:c r="F20" s="4" t="str">
        <x:v>basic</x:v>
      </x:c>
      <x:c r="G20" s="10" t="str">
        <x:v>Such
reasonable approaches may include unique client identifiers when
appropriate.</x:v>
      </x:c>
      <x:c r="H20" s="10" t="str">
        <x:v>when
appropriate</x:v>
      </x:c>
      <x:c r="I20" s="4" t="str">
        <x:v>clauses</x:v>
      </x:c>
      <x:c r="J20" s="4" t="str">
        <x:v>Clause function</x:v>
      </x:c>
      <x:c r="K20" s="4" t="str">
        <x:v>clause_function</x:v>
      </x:c>
      <x:c r="L20" s="4" t="str">
        <x:v>A — Adverbial</x:v>
      </x:c>
      <x:c r="M20" s="10" t="str">
        <x:v>A — Adverbial
PostM — Postmodifier
SC — Subject Complement
OC / Clausal object</x:v>
      </x:c>
      <x:c r="N20" s="10" t="str">
        <x:v>The highlighted clause functions as an adverbial.</x:v>
      </x:c>
      <x:c r="O20" s="12" t="n">
        <x:v>0.61</x:v>
      </x:c>
      <x:c r="P20" s="4" t="str">
        <x:v>en-1.0.0</x:v>
      </x:c>
      <x:c r="Q20" s="4" t="str">
        <x:v>5cee51d8a950b2e9bdf7133a6d97dcd20d2258c6fbb61e9d97b64b8e7249178d</x:v>
      </x:c>
      <x:c r="R20" s="4" t="str">
        <x:v>function.clause.adverbial.review</x:v>
      </x:c>
      <x:c r="S20" s="4" t="str">
        <x:v>manual-review</x:v>
      </x:c>
      <x:c r="T20" s="4" t="str">
        <x:v>review</x:v>
      </x:c>
      <x:c r="U20" s="10" t="str">
        <x:v>CL-FUNC-04</x:v>
      </x:c>
      <x:c r="V20" s="10" t="str">
        <x:v>{"adapter_rule_id":"function-clause-adverbial","deprels":["advcl","advmod"],"target_strategy":"clause-subtree","token_ids":[9,10],"upos":["ADJ","ADV"],"xpos":["JJ","WRB"]}</x:v>
      </x:c>
      <x:c r="W20" s="4" t="str">
        <x:v>1.14.0</x:v>
      </x:c>
      <x:c r="X20" s="4" t="str">
        <x:v>51f32c3b4b77d2a460e8aeaeb653dbd240ad270b7f8b42110f509ff87c483711</x:v>
      </x:c>
      <x:c r="Y20" s="4" t="str">
        <x:v>needs-review</x:v>
      </x:c>
      <x:c r="Z20" s="10" t="str">
        <x:v>An unmarked supplementive clause requires review before assigning A.</x:v>
      </x:c>
      <x:c r="AA20" s="4" t="str">
        <x:v>manual guard</x:v>
      </x:c>
      <x:c r="AB20" s="16" t="str"/>
      <x:c r="AC20" s="18" t="str"/>
      <x:c r="AD20" s="18" t="str"/>
      <x:c r="AE20" s="18" t="str"/>
      <x:c r="AF20" s="20" t="str"/>
      <x:c r="AG20" s="21"/>
      <x:c r="AH20" s="22" t="str">
        <x:v>An unmarked supplementive clause requires review before assigning A.</x:v>
      </x:c>
    </x:row>
    <x:row r="21">
      <x:c r="A21" s="4" t="str">
        <x:v>AUTO-SENTENCE-ELEMENT-f1683d0e20abead6</x:v>
      </x:c>
      <x:c r="B21" s="4" t="str">
        <x:v>REMAP-bbe723fb65c1947758c0</x:v>
      </x:c>
      <x:c r="C21" s="4" t="str">
        <x:v>masc-technical-technical-1468-6708-3-3-s0048</x:v>
      </x:c>
      <x:c r="D21" s="4" t="str">
        <x:v>technical</x:v>
      </x:c>
      <x:c r="E21" s="4" t="str">
        <x:v>MASC</x:v>
      </x:c>
      <x:c r="F21" s="4" t="str">
        <x:v>advanced</x:v>
      </x:c>
      <x:c r="G21" s="10" t="str">
        <x:v>Fourth, it may not be possible to ascertain whether these
        findings apply to all patients with recent acute coronary
        syndromes regardless of baseline lipid levels.</x:v>
      </x:c>
      <x:c r="H21" s="10" t="str">
        <x:v>it … to ascertain whether these
        findings apply to all patients with recent acute coronary
        syndromes regardless of baseline lipid levels</x:v>
      </x:c>
      <x:c r="I21" s="4" t="str">
        <x:v>sentence-elements</x:v>
      </x:c>
      <x:c r="J21" s="4" t="str">
        <x:v>Sentence elements</x:v>
      </x:c>
      <x:c r="K21" s="4" t="str">
        <x:v>sentence_element</x:v>
      </x:c>
      <x:c r="L21" s="4" t="str">
        <x:v>Formal S + Postponed S</x:v>
      </x:c>
      <x:c r="M21" s="10" t="str">
        <x:v>Formal S + Postponed S
P — Predicator
S — Subject
A — Adverbial</x:v>
      </x:c>
      <x:c r="N21" s="10" t="str">
        <x:v>The construction links formal “it” with a postponed clausal subject.</x:v>
      </x:c>
      <x:c r="O21" s="12" t="n">
        <x:v>0.62</x:v>
      </x:c>
      <x:c r="P21" s="4" t="str">
        <x:v>en-1.0.0</x:v>
      </x:c>
      <x:c r="Q21" s="4" t="str">
        <x:v>5cee51d8a950b2e9bdf7133a6d97dcd20d2258c6fbb61e9d97b64b8e7249178d</x:v>
      </x:c>
      <x:c r="R21" s="4" t="str">
        <x:v>se.formal.postponed.subject</x:v>
      </x:c>
      <x:c r="S21" s="4" t="str">
        <x:v>manual-review</x:v>
      </x:c>
      <x:c r="T21" s="4" t="str">
        <x:v>review</x:v>
      </x:c>
      <x:c r="U21" s="10" t="str">
        <x:v>SE-S-06</x:v>
      </x:c>
      <x:c r="V21" s="10" t="str">
        <x:v>{"adapter_rule_id":"se-formal-postponed-subject","deprels":["advmod","amod","case","ccomp","compound","csubj","det","expl","mark","nmod","nsubj","obl"],"target_strategy":"anchor-subtree","token_ids":[3,8,9,10,11,12,13,14,15,16,17,18,19,20,21,22,23,24,25,26],"upos":["ADJ","ADP","ADV","DET","NOUN","PART","PRON","SCONJ","VERB"],"xpos":["DT","IN","JJ","NN","NNS","PRP","RB","TO","VB","VBP"]}</x:v>
      </x:c>
      <x:c r="W21" s="4" t="str">
        <x:v>1.14.0</x:v>
      </x:c>
      <x:c r="X21" s="4" t="str">
        <x:v>51f32c3b4b77d2a460e8aeaeb653dbd240ad270b7f8b42110f509ff87c483711</x:v>
      </x:c>
      <x:c r="Y21" s="4" t="str">
        <x:v>needs-review</x:v>
      </x:c>
      <x:c r="Z21" s="10" t="str">
        <x:v>Formal it and the postponed clause must be confirmed as two linked subject annotations.</x:v>
      </x:c>
      <x:c r="AA21" s="4" t="str">
        <x:v>manual guard</x:v>
      </x:c>
      <x:c r="AB21" s="16" t="str"/>
      <x:c r="AC21" s="18" t="str"/>
      <x:c r="AD21" s="18" t="str"/>
      <x:c r="AE21" s="18" t="str"/>
      <x:c r="AF21" s="20" t="str"/>
      <x:c r="AG21" s="21"/>
      <x:c r="AH21" s="22" t="str">
        <x:v>Formal it and the postponed clause must be confirmed as two linked subject annotations.</x:v>
      </x:c>
    </x:row>
    <x:row r="22">
      <x:c r="A22" s="4" t="str">
        <x:v>AUTO-CLAUSE-FUNCTION-f984f499272304a6</x:v>
      </x:c>
      <x:c r="B22" s="4" t="str">
        <x:v>REMAP-2940e82c6ab4648321e0</x:v>
      </x:c>
      <x:c r="C22" s="4" t="str">
        <x:v>masc-journal-journal-article247-3500-s0003</x:v>
      </x:c>
      <x:c r="D22" s="4" t="str">
        <x:v>journal</x:v>
      </x:c>
      <x:c r="E22" s="4" t="str">
        <x:v>MASC</x:v>
      </x:c>
      <x:c r="F22" s="4" t="str">
        <x:v>basic</x:v>
      </x:c>
      <x:c r="G22" s="10" t="str">
        <x:v>I know what you mean about being a journalist.</x:v>
      </x:c>
      <x:c r="H22" s="10" t="str">
        <x:v>what you mean</x:v>
      </x:c>
      <x:c r="I22" s="4" t="str">
        <x:v>clauses</x:v>
      </x:c>
      <x:c r="J22" s="4" t="str">
        <x:v>Clause function</x:v>
      </x:c>
      <x:c r="K22" s="4" t="str">
        <x:v>clause_function</x:v>
      </x:c>
      <x:c r="L22" s="4" t="str">
        <x:v>DO — Direct Object</x:v>
      </x:c>
      <x:c r="M22" s="10" t="str">
        <x:v>DO — Direct Object
PostM — Postmodifier
S — Subject
SC — Subject Complement</x:v>
      </x:c>
      <x:c r="N22" s="10" t="str">
        <x:v>The highlighted clause functions as the direct object of the higher verb.</x:v>
      </x:c>
      <x:c r="O22" s="12" t="n">
        <x:v>0.58</x:v>
      </x:c>
      <x:c r="P22" s="4" t="str">
        <x:v>en-1.0.0</x:v>
      </x:c>
      <x:c r="Q22" s="4" t="str">
        <x:v>5cee51d8a950b2e9bdf7133a6d97dcd20d2258c6fbb61e9d97b64b8e7249178d</x:v>
      </x:c>
      <x:c r="R22" s="4" t="str">
        <x:v>function.clause.direct.object.review.do-direct-object-a-non-subject-fused-relat</x:v>
      </x:c>
      <x:c r="S22" s="4" t="str">
        <x:v>manual-review</x:v>
      </x:c>
      <x:c r="T22" s="4" t="str">
        <x:v>review</x:v>
      </x:c>
      <x:c r="U22" s="10" t="str">
        <x:v>CL-FUNC-02</x:v>
      </x:c>
      <x:c r="V22" s="10" t="str">
        <x:v>{"adapter_rule_id":"function-clause-direct-object","deprels":["acl:relcl","nsubj","obj"],"target_strategy":"clause-subtree","token_ids":[3,4,5],"upos":["PRON","VERB"],"xpos":["PRP","VBP","WP"]}</x:v>
      </x:c>
      <x:c r="W22" s="4" t="str">
        <x:v>1.14.0</x:v>
      </x:c>
      <x:c r="X22" s="4" t="str">
        <x:v>51f32c3b4b77d2a460e8aeaeb653dbd240ad270b7f8b42110f509ff87c483711</x:v>
      </x:c>
      <x:c r="Y22" s="4" t="str">
        <x:v>needs-review</x:v>
      </x:c>
      <x:c r="Z22" s="10" t="str">
        <x:v>A non-subject fused relative requires contextual confirmation of its higher-clause function.</x:v>
      </x:c>
      <x:c r="AA22" s="4" t="str">
        <x:v>manual guard</x:v>
      </x:c>
      <x:c r="AB22" s="16" t="str"/>
      <x:c r="AC22" s="18" t="str"/>
      <x:c r="AD22" s="18" t="str"/>
      <x:c r="AE22" s="18" t="str"/>
      <x:c r="AF22" s="20" t="str"/>
      <x:c r="AG22" s="21"/>
      <x:c r="AH22" s="22" t="str">
        <x:v>A non-subject fused relative requires contextual confirmation of its higher-clause function.</x:v>
      </x:c>
    </x:row>
    <x:row r="23">
      <x:c r="A23" s="4" t="str">
        <x:v>AUTO-SENTENCE-ELEMENT-e5fcfed9c34f9da2</x:v>
      </x:c>
      <x:c r="B23" s="4" t="str">
        <x:v>REMAP-9d174db8e7574ffa4fdf</x:v>
      </x:c>
      <x:c r="C23" s="4" t="str">
        <x:v>masc-essay-essay-black-and-white-s0090</x:v>
      </x:c>
      <x:c r="D23" s="4" t="str">
        <x:v>essay</x:v>
      </x:c>
      <x:c r="E23" s="4" t="str">
        <x:v>MASC</x:v>
      </x:c>
      <x:c r="F23" s="4" t="str">
        <x:v>intermediate</x:v>
      </x:c>
      <x:c r="G23" s="10" t="str">
        <x:v>In the 19th century it became fashionable for
               bourgeois women to dress in white, while men dressed in black (Wigley).</x:v>
      </x:c>
      <x:c r="H23" s="10" t="str">
        <x:v>in black</x:v>
      </x:c>
      <x:c r="I23" s="4" t="str">
        <x:v>sentence-elements</x:v>
      </x:c>
      <x:c r="J23" s="4" t="str">
        <x:v>Sentence elements</x:v>
      </x:c>
      <x:c r="K23" s="4" t="str">
        <x:v>sentence_element</x:v>
      </x:c>
      <x:c r="L23" s="4" t="str">
        <x:v>A — Adverbial</x:v>
      </x:c>
      <x:c r="M23" s="10" t="str">
        <x:v>A — Adverbial
P — Predicator
OC — Object Complement
Context needed</x:v>
      </x:c>
      <x:c r="N23" s="10" t="str">
        <x:v>The highlighted unit adds circumstantial information to the clause.</x:v>
      </x:c>
      <x:c r="O23" s="12" t="n">
        <x:v>0.55</x:v>
      </x:c>
      <x:c r="P23" s="4" t="str">
        <x:v>en-1.0.0</x:v>
      </x:c>
      <x:c r="Q23" s="4" t="str">
        <x:v>5cee51d8a950b2e9bdf7133a6d97dcd20d2258c6fbb61e9d97b64b8e7249178d</x:v>
      </x:c>
      <x:c r="R23" s="4" t="str">
        <x:v>se.ambiguous.pp.review.review.a-adverbial-a-technical-oblique-relation-d</x:v>
      </x:c>
      <x:c r="S23" s="4" t="str">
        <x:v>manual-review</x:v>
      </x:c>
      <x:c r="T23" s="4" t="str">
        <x:v>review</x:v>
      </x:c>
      <x:c r="U23" s="10" t="str">
        <x:v>REVIEW-01</x:v>
      </x:c>
      <x:c r="V23" s="10" t="str">
        <x:v>{"adapter_rule_id":"se-ambiguous-pp-review","deprels":["case","obl"],"target_strategy":"anchor-subtree","token_ids":[19,20],"upos":["ADJ","ADP"],"xpos":["IN","JJ"]}</x:v>
      </x:c>
      <x:c r="W23" s="4" t="str">
        <x:v>1.14.0</x:v>
      </x:c>
      <x:c r="X23" s="4" t="str">
        <x:v>51f32c3b4b77d2a460e8aeaeb653dbd240ad270b7f8b42110f509ff87c483711</x:v>
      </x:c>
      <x:c r="Y23" s="4" t="str">
        <x:v>needs-review</x:v>
      </x:c>
      <x:c r="Z23" s="10" t="str">
        <x:v>A technical oblique relation does not decide whether the phrase is an adverbial or selected complement.</x:v>
      </x:c>
      <x:c r="AA23" s="4" t="str">
        <x:v>manual guard</x:v>
      </x:c>
      <x:c r="AB23" s="16" t="str"/>
      <x:c r="AC23" s="18" t="str"/>
      <x:c r="AD23" s="18" t="str"/>
      <x:c r="AE23" s="18" t="str"/>
      <x:c r="AF23" s="20" t="str"/>
      <x:c r="AG23" s="21"/>
      <x:c r="AH23" s="22" t="str">
        <x:v>A technical oblique relation does not decide whether the phrase is an adverbial or selected complement.</x:v>
      </x:c>
    </x:row>
    <x:row r="24">
      <x:c r="A24" s="4" t="str">
        <x:v>AUTO-CLAUSE-TYPE-8f5692b9358334f3</x:v>
      </x:c>
      <x:c r="B24" s="4" t="str">
        <x:v>REMAP-32462a81b53bbc4b9af8</x:v>
      </x:c>
      <x:c r="C24" s="4" t="str">
        <x:v>masc-blog-blog-fermentation-eminent-domain-s0131</x:v>
      </x:c>
      <x:c r="D24" s="4" t="str">
        <x:v>blog</x:v>
      </x:c>
      <x:c r="E24" s="4" t="str">
        <x:v>MASC</x:v>
      </x:c>
      <x:c r="F24" s="4" t="str">
        <x:v>advanced</x:v>
      </x:c>
      <x:c r="G24" s="10" t="str">
        <x:v>Perhaps the proponents of the law are not doing the job they were hired to
do, perhaps the SCV needs a more passionate communicator on their marketing
team, putting together the quality promotion you suggest is impossible.</x:v>
      </x:c>
      <x:c r="H24" s="10" t="str">
        <x:v>you suggest</x:v>
      </x:c>
      <x:c r="I24" s="4" t="str">
        <x:v>clauses</x:v>
      </x:c>
      <x:c r="J24" s="4" t="str">
        <x:v>Clause type</x:v>
      </x:c>
      <x:c r="K24" s="4" t="str">
        <x:v>clause_type</x:v>
      </x:c>
      <x:c r="L24" s="4" t="str">
        <x:v>Restrictive relative clause — function: PostM</x:v>
      </x:c>
      <x:c r="M24" s="10" t="str">
        <x:v>Restrictive relative clause — function: PostM
Appositive clause
Supplementive non-finite clause — function: A
Conditional adverbial clause</x:v>
      </x:c>
      <x:c r="N24" s="10" t="str">
        <x:v>The highlighted relative clause restricts its antecedent and functions as a postmodifier.</x:v>
      </x:c>
      <x:c r="O24" s="12" t="n">
        <x:v>0.6</x:v>
      </x:c>
      <x:c r="P24" s="4" t="str">
        <x:v>en-1.0.0</x:v>
      </x:c>
      <x:c r="Q24" s="4" t="str">
        <x:v>5cee51d8a950b2e9bdf7133a6d97dcd20d2258c6fbb61e9d97b64b8e7249178d</x:v>
      </x:c>
      <x:c r="R24" s="4" t="str">
        <x:v>clause.relative.zero.review.review.restrictive-relative-clause-function-postm</x:v>
      </x:c>
      <x:c r="S24" s="4" t="str">
        <x:v>manual-review</x:v>
      </x:c>
      <x:c r="T24" s="4" t="str">
        <x:v>review</x:v>
      </x:c>
      <x:c r="U24" s="10" t="str">
        <x:v>CL-REL-02
CL-REL-07</x:v>
      </x:c>
      <x:c r="V24" s="10" t="str">
        <x:v>{"adapter_rule_id":"clause-relative-zero-review","deprels":["acl:relcl","nsubj"],"target_strategy":"clause-subtree","token_ids":[36,37],"upos":["PRON","VERB"],"xpos":["PRP","VBP"]}</x:v>
      </x:c>
      <x:c r="W24" s="4" t="str">
        <x:v>1.14.0</x:v>
      </x:c>
      <x:c r="X24" s="4" t="str">
        <x:v>51f32c3b4b77d2a460e8aeaeb653dbd240ad270b7f8b42110f509ff87c483711</x:v>
      </x:c>
      <x:c r="Y24" s="4" t="str">
        <x:v>needs-review</x:v>
      </x:c>
      <x:c r="Z24" s="10" t="str">
        <x:v>Zero-relative recovery and restrictiveness require review.</x:v>
      </x:c>
      <x:c r="AA24" s="4" t="str">
        <x:v>manual guard</x:v>
      </x:c>
      <x:c r="AB24" s="16" t="str"/>
      <x:c r="AC24" s="18" t="str"/>
      <x:c r="AD24" s="18" t="str"/>
      <x:c r="AE24" s="18" t="str"/>
      <x:c r="AF24" s="20" t="str"/>
      <x:c r="AG24" s="21"/>
      <x:c r="AH24" s="22" t="str">
        <x:v>Zero-relative recovery and restrictiveness require review.</x:v>
      </x:c>
    </x:row>
    <x:row r="25">
      <x:c r="A25" s="4" t="str">
        <x:v>AUTO-CLAUSE-FUNCTION-e32c6021d87dd3b5</x:v>
      </x:c>
      <x:c r="B25" s="4" t="str">
        <x:v>REMAP-b2da546b077339e4996b</x:v>
      </x:c>
      <x:c r="C25" s="4" t="str">
        <x:v>masc-essay-essay-black-and-white-s0120</x:v>
      </x:c>
      <x:c r="D25" s="4" t="str">
        <x:v>essay</x:v>
      </x:c>
      <x:c r="E25" s="4" t="str">
        <x:v>MASC</x:v>
      </x:c>
      <x:c r="F25" s="4" t="str">
        <x:v>intermediate</x:v>
      </x:c>
      <x:c r="G25" s="10" t="str">
        <x:v>Kitsch made cheap what once was truly cultural by the way it
               reproduced it d infinitum.</x:v>
      </x:c>
      <x:c r="H25" s="10" t="str">
        <x:v>what once was truly cultural</x:v>
      </x:c>
      <x:c r="I25" s="4" t="str">
        <x:v>clauses</x:v>
      </x:c>
      <x:c r="J25" s="4" t="str">
        <x:v>Clause function</x:v>
      </x:c>
      <x:c r="K25" s="4" t="str">
        <x:v>clause_function</x:v>
      </x:c>
      <x:c r="L25" s="4" t="str">
        <x:v>DO — Direct Object</x:v>
      </x:c>
      <x:c r="M25" s="10" t="str">
        <x:v>DO — Direct Object
S — Subject
OC / Clausal object
PostM — Postmodifier</x:v>
      </x:c>
      <x:c r="N25" s="10" t="str">
        <x:v>The highlighted clause functions as the direct object of the higher verb.</x:v>
      </x:c>
      <x:c r="O25" s="12" t="n">
        <x:v>0.58</x:v>
      </x:c>
      <x:c r="P25" s="4" t="str">
        <x:v>en-1.0.0</x:v>
      </x:c>
      <x:c r="Q25" s="4" t="str">
        <x:v>5cee51d8a950b2e9bdf7133a6d97dcd20d2258c6fbb61e9d97b64b8e7249178d</x:v>
      </x:c>
      <x:c r="R25" s="4" t="str">
        <x:v>function.clause.direct.object.review.do-direct-object-a-non-subject-fused-relat</x:v>
      </x:c>
      <x:c r="S25" s="4" t="str">
        <x:v>manual-review</x:v>
      </x:c>
      <x:c r="T25" s="4" t="str">
        <x:v>review</x:v>
      </x:c>
      <x:c r="U25" s="10" t="str">
        <x:v>CL-FUNC-02</x:v>
      </x:c>
      <x:c r="V25" s="10" t="str">
        <x:v>{"adapter_rule_id":"function-clause-direct-object","deprels":["acl:relcl","advmod","cop","obj"],"target_strategy":"clause-subtree","token_ids":[4,5,6,7,8],"upos":["ADJ","ADV","AUX","PRON"],"xpos":["JJ","RB","VBD","WP"]}</x:v>
      </x:c>
      <x:c r="W25" s="4" t="str">
        <x:v>1.14.0</x:v>
      </x:c>
      <x:c r="X25" s="4" t="str">
        <x:v>51f32c3b4b77d2a460e8aeaeb653dbd240ad270b7f8b42110f509ff87c483711</x:v>
      </x:c>
      <x:c r="Y25" s="4" t="str">
        <x:v>needs-review</x:v>
      </x:c>
      <x:c r="Z25" s="10" t="str">
        <x:v>A non-subject fused relative requires contextual confirmation of its higher-clause function.</x:v>
      </x:c>
      <x:c r="AA25" s="4" t="str">
        <x:v>manual guard</x:v>
      </x:c>
      <x:c r="AB25" s="16" t="str"/>
      <x:c r="AC25" s="18" t="str"/>
      <x:c r="AD25" s="18" t="str"/>
      <x:c r="AE25" s="18" t="str"/>
      <x:c r="AF25" s="20" t="str"/>
      <x:c r="AG25" s="21"/>
      <x:c r="AH25" s="22" t="str">
        <x:v>A non-subject fused relative requires contextual confirmation of its higher-clause function.</x:v>
      </x:c>
    </x:row>
    <x:row r="26">
      <x:c r="A26" s="4" t="str">
        <x:v>AUTO-CLAUSE-TYPE-46f2ccd0a8175c11</x:v>
      </x:c>
      <x:c r="B26" s="4" t="str">
        <x:v>REMAP-cfcbb3f2444ab5b1dca8</x:v>
      </x:c>
      <x:c r="C26" s="4" t="str">
        <x:v>masc-ficlets-ficlets-1399-s0199</x:v>
      </x:c>
      <x:c r="D26" s="4" t="str">
        <x:v>ficlets</x:v>
      </x:c>
      <x:c r="E26" s="4" t="str">
        <x:v>MASC</x:v>
      </x:c>
      <x:c r="F26" s="4" t="str">
        <x:v>intermediate</x:v>
      </x:c>
      <x:c r="G26" s="10" t="str">
        <x:v>As much as it appeared, she wasn’t the greatest, or the purest, prettiest, or bravest.</x:v>
      </x:c>
      <x:c r="H26" s="10" t="str">
        <x:v>as it appeared</x:v>
      </x:c>
      <x:c r="I26" s="4" t="str">
        <x:v>clauses</x:v>
      </x:c>
      <x:c r="J26" s="4" t="str">
        <x:v>Clause type</x:v>
      </x:c>
      <x:c r="K26" s="4" t="str">
        <x:v>clause_type</x:v>
      </x:c>
      <x:c r="L26" s="4" t="str">
        <x:v>Comparative clause — postmodifier of an adjective</x:v>
      </x:c>
      <x:c r="M26" s="10" t="str">
        <x:v>Comparative clause — postmodifier of an adjective
Nominal clause — function: SC
Restrictive relative clause — function: PostM
Purpose adverbial clause</x:v>
      </x:c>
      <x:c r="N26" s="10" t="str">
        <x:v>The highlighted comparative clause postmodifies the adjective.</x:v>
      </x:c>
      <x:c r="O26" s="12" t="n">
        <x:v>0.92</x:v>
      </x:c>
      <x:c r="P26" s="4" t="str">
        <x:v>en-1.0.0</x:v>
      </x:c>
      <x:c r="Q26" s="4" t="str">
        <x:v>5cee51d8a950b2e9bdf7133a6d97dcd20d2258c6fbb61e9d97b64b8e7249178d</x:v>
      </x:c>
      <x:c r="R26" s="4" t="str">
        <x:v>clause.comparative.adjective.postmodifier</x:v>
      </x:c>
      <x:c r="S26" s="4" t="str">
        <x:v>manual-review</x:v>
      </x:c>
      <x:c r="T26" s="4" t="str">
        <x:v>review</x:v>
      </x:c>
      <x:c r="U26" s="10" t="str">
        <x:v>CL-ADV-10</x:v>
      </x:c>
      <x:c r="V26" s="10" t="str">
        <x:v>{"adapter_rule_id":"clause-comparative-adjective-postmodifier","deprels":["advcl","mark","nsubj"],"target_strategy":"clause-subtree","token_ids":[3,4,5],"upos":["PRON","SCONJ","VERB"],"xpos":["IN","PRP","VBD"]}</x:v>
      </x:c>
      <x:c r="W26" s="4" t="str">
        <x:v>1.14.0</x:v>
      </x:c>
      <x:c r="X26" s="4" t="str">
        <x:v>51f32c3b4b77d2a460e8aeaeb653dbd240ad270b7f8b42110f509ff87c483711</x:v>
      </x:c>
      <x:c r="Y26" s="4" t="str">
        <x:v>needs-review</x:v>
      </x:c>
      <x:c r="Z26" s="10" t="str">
        <x:v>The reviewed contract requires human review.</x:v>
      </x:c>
      <x:c r="AA26" s="4" t="str">
        <x:v>manual guard</x:v>
      </x:c>
      <x:c r="AB26" s="16" t="str"/>
      <x:c r="AC26" s="18" t="str"/>
      <x:c r="AD26" s="18" t="str"/>
      <x:c r="AE26" s="18" t="str"/>
      <x:c r="AF26" s="20" t="str"/>
      <x:c r="AG26" s="21"/>
      <x:c r="AH26" s="22" t="str">
        <x:v>The reviewed contract requires human review.</x:v>
      </x:c>
    </x:row>
    <x:row r="27">
      <x:c r="A27" s="4" t="str">
        <x:v>AUTO-CLAUSE-TYPE-3e2ead5a4542895a</x:v>
      </x:c>
      <x:c r="B27" s="4" t="str">
        <x:v>REMAP-7eabb5bc193f4d89c337</x:v>
      </x:c>
      <x:c r="C27" s="4" t="str">
        <x:v>masc-blog-blog-fermentation-eminent-domain-s0114</x:v>
      </x:c>
      <x:c r="D27" s="4" t="str">
        <x:v>blog</x:v>
      </x:c>
      <x:c r="E27" s="4" t="str">
        <x:v>MASC</x:v>
      </x:c>
      <x:c r="F27" s="4" t="str">
        <x:v>intermediate</x:v>
      </x:c>
      <x:c r="G27" s="10" t="str">
        <x:v>Winkler heat summation datapoints
also clarified several decades ago some of the plant physiologic
underpinnings of why Napa county and Sonoma county were the natural leaders
in premium winegrape production.</x:v>
      </x:c>
      <x:c r="H27" s="10" t="str">
        <x:v>Napa county and Sonoma county were the natural leaders
in premium winegrape production</x:v>
      </x:c>
      <x:c r="I27" s="4" t="str">
        <x:v>clauses</x:v>
      </x:c>
      <x:c r="J27" s="4" t="str">
        <x:v>Clause type</x:v>
      </x:c>
      <x:c r="K27" s="4" t="str">
        <x:v>clause_type</x:v>
      </x:c>
      <x:c r="L27" s="4" t="str">
        <x:v>Relative clause — function: PostM</x:v>
      </x:c>
      <x:c r="M27" s="10" t="str">
        <x:v>Relative clause — function: PostM
Conditional adverbial clause
Manner / comparison adverbial clause
Temporal adverbial clause</x:v>
      </x:c>
      <x:c r="N27" s="10" t="str">
        <x:v>The highlighted relative clause modifies the noun that comes before it.</x:v>
      </x:c>
      <x:c r="O27" s="12" t="n">
        <x:v>0.6</x:v>
      </x:c>
      <x:c r="P27" s="4" t="str">
        <x:v>en-1.0.0</x:v>
      </x:c>
      <x:c r="Q27" s="4" t="str">
        <x:v>5cee51d8a950b2e9bdf7133a6d97dcd20d2258c6fbb61e9d97b64b8e7249178d</x:v>
      </x:c>
      <x:c r="R27" s="4" t="str">
        <x:v>clause.relative.zero.review.review.relative-clause-function-postm-zero-relati</x:v>
      </x:c>
      <x:c r="S27" s="4" t="str">
        <x:v>manual-review</x:v>
      </x:c>
      <x:c r="T27" s="4" t="str">
        <x:v>review</x:v>
      </x:c>
      <x:c r="U27" s="10" t="str">
        <x:v>CL-REL-02
CL-REL-07</x:v>
      </x:c>
      <x:c r="V27" s="10" t="str">
        <x:v>{"adapter_rule_id":"clause-relative-zero-review","deprels":["advcl:relcl","amod","case","cc","compound","conj","cop","det","nmod","nsubj"],"target_strategy":"clause-subtree","token_ids":[18,19,20,21,22,23,24,25,26,27,28,29,30],"upos":["ADJ","ADP","AUX","CCONJ","DET","NOUN","PROPN"],"xpos":["CC","DT","IN","JJ","NN","NNP","NNS","VBD"]}</x:v>
      </x:c>
      <x:c r="W27" s="4" t="str">
        <x:v>1.14.0</x:v>
      </x:c>
      <x:c r="X27" s="4" t="str">
        <x:v>51f32c3b4b77d2a460e8aeaeb653dbd240ad270b7f8b42110f509ff87c483711</x:v>
      </x:c>
      <x:c r="Y27" s="4" t="str">
        <x:v>needs-review</x:v>
      </x:c>
      <x:c r="Z27" s="10" t="str">
        <x:v>Zero-relative recovery and restrictiveness require review.</x:v>
      </x:c>
      <x:c r="AA27" s="4" t="str">
        <x:v>manual guard</x:v>
      </x:c>
      <x:c r="AB27" s="16" t="str"/>
      <x:c r="AC27" s="18" t="str"/>
      <x:c r="AD27" s="18" t="str"/>
      <x:c r="AE27" s="18" t="str"/>
      <x:c r="AF27" s="20" t="str"/>
      <x:c r="AG27" s="21"/>
      <x:c r="AH27" s="22" t="str">
        <x:v>Zero-relative recovery and restrictiveness require review.</x:v>
      </x:c>
    </x:row>
    <x:row r="28">
      <x:c r="A28" s="4" t="str">
        <x:v>AUTO-CLAUSE-TYPE-bb5891356a93b6e1</x:v>
      </x:c>
      <x:c r="B28" s="4" t="str">
        <x:v>REMAP-b506c8f04b2c3a6e8874</x:v>
      </x:c>
      <x:c r="C28" s="4" t="str">
        <x:v>masc-blog-blog-effing-idiot-s0270</x:v>
      </x:c>
      <x:c r="D28" s="4" t="str">
        <x:v>blog</x:v>
      </x:c>
      <x:c r="E28" s="4" t="str">
        <x:v>MASC</x:v>
      </x:c>
      <x:c r="F28" s="4" t="str">
        <x:v>advanced</x:v>
      </x:c>
      <x:c r="G28" s="10" t="str">
        <x:v>In the stumped,
frustrated, hypocritcal idiocy of the extreme right - in that gang of redneck ignoramuses who
want simple answers to complex questions they do not understand - she finds the only market
for her brand of incompetent yammering.</x:v>
      </x:c>
      <x:c r="H28" s="10" t="str">
        <x:v>In the stumped,
frustrated, hypocritcal idiocy of the extreme right - in that gang of redneck ignoramuses … she finds the only market
for her brand of incompetent yammering</x:v>
      </x:c>
      <x:c r="I28" s="4" t="str">
        <x:v>clauses</x:v>
      </x:c>
      <x:c r="J28" s="4" t="str">
        <x:v>Clause type</x:v>
      </x:c>
      <x:c r="K28" s="4" t="str">
        <x:v>clause_type</x:v>
      </x:c>
      <x:c r="L28" s="4" t="str">
        <x:v>Main clause</x:v>
      </x:c>
      <x:c r="M28" s="10" t="str">
        <x:v>Main clause
Nominal clause — function: DO
Nominal relative clause — function: S
Supplementive non-finite clause — function: A</x:v>
      </x:c>
      <x:c r="N28" s="10" t="str">
        <x:v>The highlighted clause is the independent main clause of the sentence.</x:v>
      </x:c>
      <x:c r="O28" s="12" t="n">
        <x:v>0.58</x:v>
      </x:c>
      <x:c r="P28" s="4" t="str">
        <x:v>en-1.0.0</x:v>
      </x:c>
      <x:c r="Q28" s="4" t="str">
        <x:v>5cee51d8a950b2e9bdf7133a6d97dcd20d2258c6fbb61e9d97b64b8e7249178d</x:v>
      </x:c>
      <x:c r="R28" s="4" t="str">
        <x:v>clause.main.complex.review</x:v>
      </x:c>
      <x:c r="S28" s="4" t="str">
        <x:v>manual-review</x:v>
      </x:c>
      <x:c r="T28" s="4" t="str">
        <x:v>review</x:v>
      </x:c>
      <x:c r="U28" s="10" t="str">
        <x:v>CL-MAIN-01</x:v>
      </x:c>
      <x:c r="V28" s="10" t="str">
        <x:v>{"adapter_rule_id":"clause-main-complex-review","deprels":["amod","case","compound","det","nmod","nmod:poss","nsubj","obj","obl","punct","root"],"target_strategy":"clause-subtree","token_ids":[1,2,3,4,5,6,7,8,9,10,11,12,13,14,15,16,17,18,19,32,33,34,35,36,37,38,39,40,41,42],"upos":["ADJ","ADP","DET","NOUN","PRON","PUNCT","VERB"],"xpos":[",",":","DT","IN","JJ","NN","NNS","PRP","PRP$","VBN","VBZ"]}</x:v>
      </x:c>
      <x:c r="W28" s="4" t="str">
        <x:v>1.14.0</x:v>
      </x:c>
      <x:c r="X28" s="4" t="str">
        <x:v>51f32c3b4b77d2a460e8aeaeb653dbd240ad270b7f8b42110f509ff87c483711</x:v>
      </x:c>
      <x:c r="Y28" s="4" t="str">
        <x:v>needs-review</x:v>
      </x:c>
      <x:c r="Z28" s="10" t="str">
        <x:v>Nested clause boundaries make the matrix clause discontinuous; confirm the teaching highlight.</x:v>
      </x:c>
      <x:c r="AA28" s="4" t="str">
        <x:v>manual guard</x:v>
      </x:c>
      <x:c r="AB28" s="16" t="str"/>
      <x:c r="AC28" s="18" t="str"/>
      <x:c r="AD28" s="18" t="str"/>
      <x:c r="AE28" s="18" t="str"/>
      <x:c r="AF28" s="20" t="str"/>
      <x:c r="AG28" s="21"/>
      <x:c r="AH28" s="22" t="str">
        <x:v>Nested clause boundaries make the matrix clause discontinuous; confirm the teaching highlight.</x:v>
      </x:c>
    </x:row>
    <x:row r="29">
      <x:c r="A29" s="4" t="str">
        <x:v>AUTO-CLAUSE-FUNCTION-53432ed32b1c8037</x:v>
      </x:c>
      <x:c r="B29" s="4" t="str">
        <x:v>REMAP-91b286746738964ffaff</x:v>
      </x:c>
      <x:c r="C29" s="4" t="str">
        <x:v>oanc-travel-berlitz2-bali-wheretogo-s0015</x:v>
      </x:c>
      <x:c r="D29" s="4" t="str">
        <x:v>travel</x:v>
      </x:c>
      <x:c r="E29" s="4" t="str">
        <x:v>OANC</x:v>
      </x:c>
      <x:c r="F29" s="4" t="str">
        <x:v>advanced</x:v>
      </x:c>
      <x:c r="G29" s="10" t="str">
        <x:v>Fortunately, no other high-rise hotels have been built on Bali—the authorities decreed that in the future no building should be higher than a palm tree.</x:v>
      </x:c>
      <x:c r="H29" s="10" t="str">
        <x:v>that in the future no building should be higher than a palm tree</x:v>
      </x:c>
      <x:c r="I29" s="4" t="str">
        <x:v>clauses</x:v>
      </x:c>
      <x:c r="J29" s="4" t="str">
        <x:v>Clause function</x:v>
      </x:c>
      <x:c r="K29" s="4" t="str">
        <x:v>clause_function</x:v>
      </x:c>
      <x:c r="L29" s="4" t="str">
        <x:v>DO — Direct Object</x:v>
      </x:c>
      <x:c r="M29" s="10" t="str">
        <x:v>DO — Direct Object
S — Subject
PostM — Postmodifier
A — Adverbial</x:v>
      </x:c>
      <x:c r="N29" s="10" t="str">
        <x:v>The highlighted clause functions as the direct object of the higher verb.</x:v>
      </x:c>
      <x:c r="O29" s="12" t="n">
        <x:v>0.58</x:v>
      </x:c>
      <x:c r="P29" s="4" t="str">
        <x:v>en-1.0.0</x:v>
      </x:c>
      <x:c r="Q29" s="4" t="str">
        <x:v>5cee51d8a950b2e9bdf7133a6d97dcd20d2258c6fbb61e9d97b64b8e7249178d</x:v>
      </x:c>
      <x:c r="R29" s="4" t="str">
        <x:v>function.clause.direct.object.review.do-direct-object-the-higher-clause-functio</x:v>
      </x:c>
      <x:c r="S29" s="4" t="str">
        <x:v>manual-review</x:v>
      </x:c>
      <x:c r="T29" s="4" t="str">
        <x:v>review</x:v>
      </x:c>
      <x:c r="U29" s="10" t="str">
        <x:v>CL-FUNC-02</x:v>
      </x:c>
      <x:c r="V29" s="10" t="str">
        <x:v>{"adapter_rule_id":"function-clause-direct-object","deprels":["aux","case","ccomp","compound","cop","det","mark","nsubj","obl"],"target_strategy":"clause-subtree","token_ids":[18,19,20,21,22,23,24,25,26,27,28,29,30],"upos":["ADJ","ADP","AUX","DET","NOUN","SCONJ"],"xpos":["DT","IN","JJR","MD","NN","VB"]}</x:v>
      </x:c>
      <x:c r="W29" s="4" t="str">
        <x:v>1.14.0</x:v>
      </x:c>
      <x:c r="X29" s="4" t="str">
        <x:v>51f32c3b4b77d2a460e8aeaeb653dbd240ad270b7f8b42110f509ff87c483711</x:v>
      </x:c>
      <x:c r="Y29" s="4" t="str">
        <x:v>needs-review</x:v>
      </x:c>
      <x:c r="Z29" s="10" t="str">
        <x:v>The higher-clause function depends on the matrix predicate.</x:v>
      </x:c>
      <x:c r="AA29" s="4" t="str">
        <x:v>manual guard</x:v>
      </x:c>
      <x:c r="AB29" s="16" t="str"/>
      <x:c r="AC29" s="18" t="str"/>
      <x:c r="AD29" s="18" t="str"/>
      <x:c r="AE29" s="18" t="str"/>
      <x:c r="AF29" s="20" t="str"/>
      <x:c r="AG29" s="21"/>
      <x:c r="AH29" s="22" t="str">
        <x:v>The higher-clause function depends on the matrix predicate.</x:v>
      </x:c>
    </x:row>
    <x:row r="30">
      <x:c r="A30" s="4" t="str">
        <x:v>AUTO-CLAUSE-FUNCTION-615b7eaf98175205</x:v>
      </x:c>
      <x:c r="B30" s="4" t="str">
        <x:v>REMAP-2eaf2549573e36faf9fb</x:v>
      </x:c>
      <x:c r="C30" s="4" t="str">
        <x:v>masc-fiction-fiction-a-wasted-day-s0218</x:v>
      </x:c>
      <x:c r="D30" s="4" t="str">
        <x:v>fiction</x:v>
      </x:c>
      <x:c r="E30" s="4" t="str">
        <x:v>MASC</x:v>
      </x:c>
      <x:c r="F30" s="4" t="str">
        <x:v>basic</x:v>
      </x:c>
      <x:c r="G30" s="10" t="str">
        <x:v>No one better than himself knew
                  what his time was really worth.</x:v>
      </x:c>
      <x:c r="H30" s="10" t="str">
        <x:v>what his time was really worth</x:v>
      </x:c>
      <x:c r="I30" s="4" t="str">
        <x:v>clauses</x:v>
      </x:c>
      <x:c r="J30" s="4" t="str">
        <x:v>Clause function</x:v>
      </x:c>
      <x:c r="K30" s="4" t="str">
        <x:v>clause_function</x:v>
      </x:c>
      <x:c r="L30" s="4" t="str">
        <x:v>DO — Direct Object</x:v>
      </x:c>
      <x:c r="M30" s="10" t="str">
        <x:v>DO — Direct Object
S — Subject
PostM — Postmodifier
SC — Subject Complement</x:v>
      </x:c>
      <x:c r="N30" s="10" t="str">
        <x:v>The highlighted clause functions as the direct object of the higher verb.</x:v>
      </x:c>
      <x:c r="O30" s="12" t="n">
        <x:v>0.58</x:v>
      </x:c>
      <x:c r="P30" s="4" t="str">
        <x:v>en-1.0.0</x:v>
      </x:c>
      <x:c r="Q30" s="4" t="str">
        <x:v>5cee51d8a950b2e9bdf7133a6d97dcd20d2258c6fbb61e9d97b64b8e7249178d</x:v>
      </x:c>
      <x:c r="R30" s="4" t="str">
        <x:v>function.clause.direct.object.review.do-direct-object-a-non-subject-fused-relat</x:v>
      </x:c>
      <x:c r="S30" s="4" t="str">
        <x:v>manual-review</x:v>
      </x:c>
      <x:c r="T30" s="4" t="str">
        <x:v>review</x:v>
      </x:c>
      <x:c r="U30" s="10" t="str">
        <x:v>CL-FUNC-02</x:v>
      </x:c>
      <x:c r="V30" s="10" t="str">
        <x:v>{"adapter_rule_id":"function-clause-direct-object","deprels":["acl:relcl","advmod","cop","nmod:poss","nsubj","obj"],"target_strategy":"clause-subtree","token_ids":[7,8,9,10,11,12],"upos":["ADJ","ADV","AUX","NOUN","PRON"],"xpos":["JJ","NN","PRP$","RB","VBD","WP"]}</x:v>
      </x:c>
      <x:c r="W30" s="4" t="str">
        <x:v>1.14.0</x:v>
      </x:c>
      <x:c r="X30" s="4" t="str">
        <x:v>51f32c3b4b77d2a460e8aeaeb653dbd240ad270b7f8b42110f509ff87c483711</x:v>
      </x:c>
      <x:c r="Y30" s="4" t="str">
        <x:v>needs-review</x:v>
      </x:c>
      <x:c r="Z30" s="10" t="str">
        <x:v>A non-subject fused relative requires contextual confirmation of its higher-clause function.</x:v>
      </x:c>
      <x:c r="AA30" s="4" t="str">
        <x:v>manual guard</x:v>
      </x:c>
      <x:c r="AB30" s="16" t="str"/>
      <x:c r="AC30" s="18" t="str"/>
      <x:c r="AD30" s="18" t="str"/>
      <x:c r="AE30" s="18" t="str"/>
      <x:c r="AF30" s="20" t="str"/>
      <x:c r="AG30" s="21"/>
      <x:c r="AH30" s="22" t="str">
        <x:v>A non-subject fused relative requires contextual confirmation of its higher-clause function.</x:v>
      </x:c>
    </x:row>
    <x:row r="31">
      <x:c r="A31" s="4" t="str">
        <x:v>AUTO-CLAUSE-TYPE-6dea989f7a8f6f84</x:v>
      </x:c>
      <x:c r="B31" s="4" t="str">
        <x:v>REMAP-b5f225dd2b586d908c7a</x:v>
      </x:c>
      <x:c r="C31" s="4" t="str">
        <x:v>masc-spoken-spoken-bed012-s0509</x:v>
      </x:c>
      <x:c r="D31" s="4" t="str">
        <x:v>spoken</x:v>
      </x:c>
      <x:c r="E31" s="4" t="str">
        <x:v>MASC</x:v>
      </x:c>
      <x:c r="F31" s="4" t="str">
        <x:v>basic</x:v>
      </x:c>
      <x:c r="G31" s="10" t="str">
        <x:v>As, which one i- Which ones are important?</x:v>
      </x:c>
      <x:c r="H31" s="10" t="str">
        <x:v>As, which one … Which ones are important</x:v>
      </x:c>
      <x:c r="I31" s="4" t="str">
        <x:v>clauses</x:v>
      </x:c>
      <x:c r="J31" s="4" t="str">
        <x:v>Clause type</x:v>
      </x:c>
      <x:c r="K31" s="4" t="str">
        <x:v>clause_type</x:v>
      </x:c>
      <x:c r="L31" s="4" t="str">
        <x:v>Main clause</x:v>
      </x:c>
      <x:c r="M31" s="10" t="str">
        <x:v>Main clause
Nominal clause — postmodifier of an adjective
Adverbial clause — function: A
Temporal adverbial clause</x:v>
      </x:c>
      <x:c r="N31" s="10" t="str">
        <x:v>The highlighted clause is the independent main clause of the sentence.</x:v>
      </x:c>
      <x:c r="O31" s="12" t="n">
        <x:v>0.58</x:v>
      </x:c>
      <x:c r="P31" s="4" t="str">
        <x:v>en-1.0.0</x:v>
      </x:c>
      <x:c r="Q31" s="4" t="str">
        <x:v>5cee51d8a950b2e9bdf7133a6d97dcd20d2258c6fbb61e9d97b64b8e7249178d</x:v>
      </x:c>
      <x:c r="R31" s="4" t="str">
        <x:v>clause.main.complex.review</x:v>
      </x:c>
      <x:c r="S31" s="4" t="str">
        <x:v>manual-review</x:v>
      </x:c>
      <x:c r="T31" s="4" t="str">
        <x:v>review</x:v>
      </x:c>
      <x:c r="U31" s="10" t="str">
        <x:v>CL-MAIN-01</x:v>
      </x:c>
      <x:c r="V31" s="10" t="str">
        <x:v>{"adapter_rule_id":"clause-main-complex-review","deprels":["cop","det","mark","nsubj","punct","reparandum","root"],"target_strategy":"clause-subtree","token_ids":[1,2,3,4,6,7,8,9],"upos":["ADJ","AUX","DET","NOUN","PUNCT","SCONJ"],"xpos":[",","IN","JJ","NN","NNS","VBP","WDT"]}</x:v>
      </x:c>
      <x:c r="W31" s="4" t="str">
        <x:v>1.14.0</x:v>
      </x:c>
      <x:c r="X31" s="4" t="str">
        <x:v>51f32c3b4b77d2a460e8aeaeb653dbd240ad270b7f8b42110f509ff87c483711</x:v>
      </x:c>
      <x:c r="Y31" s="4" t="str">
        <x:v>needs-review</x:v>
      </x:c>
      <x:c r="Z31" s="10" t="str">
        <x:v>Nested clause boundaries make the matrix clause discontinuous; confirm the teaching highlight.</x:v>
      </x:c>
      <x:c r="AA31" s="4" t="str">
        <x:v>manual guard</x:v>
      </x:c>
      <x:c r="AB31" s="16" t="str"/>
      <x:c r="AC31" s="18" t="str"/>
      <x:c r="AD31" s="18" t="str"/>
      <x:c r="AE31" s="18" t="str"/>
      <x:c r="AF31" s="20" t="str"/>
      <x:c r="AG31" s="21"/>
      <x:c r="AH31" s="22" t="str">
        <x:v>Nested clause boundaries make the matrix clause discontinuous; confirm the teaching highlight.</x:v>
      </x:c>
    </x:row>
    <x:row r="32">
      <x:c r="A32" s="4" t="str">
        <x:v>AUTO-CLAUSE-TYPE-879429df2dee5780</x:v>
      </x:c>
      <x:c r="B32" s="4" t="str">
        <x:v>REMAP-cd2409657942b106cd93</x:v>
      </x:c>
      <x:c r="C32" s="4" t="str">
        <x:v>masc-newspaper-newspaper-20000419-apw-eng-new-s0002</x:v>
      </x:c>
      <x:c r="D32" s="4" t="str">
        <x:v>newspaper</x:v>
      </x:c>
      <x:c r="E32" s="4" t="str">
        <x:v>MASC</x:v>
      </x:c>
      <x:c r="F32" s="4" t="str">
        <x:v>advanced</x:v>
      </x:c>
      <x:c r="G32" s="10" t="str">
        <x:v>Rep. Tony Hall, D-Ohio, did not call for a lifting of sanctions imposed
				on Iraq for its 1990 invasion of Kuwait, but said the United Nations
				should make sure that sanctions do not hurt innocent Iraqis.</x:v>
      </x:c>
      <x:c r="H32" s="10" t="str">
        <x:v>that sanctions do not hurt innocent Iraqis</x:v>
      </x:c>
      <x:c r="I32" s="4" t="str">
        <x:v>clauses</x:v>
      </x:c>
      <x:c r="J32" s="4" t="str">
        <x:v>Clause type</x:v>
      </x:c>
      <x:c r="K32" s="4" t="str">
        <x:v>clause_type</x:v>
      </x:c>
      <x:c r="L32" s="4" t="str">
        <x:v>Nominal clause — postmodifier of an adjective</x:v>
      </x:c>
      <x:c r="M32" s="10" t="str">
        <x:v>Nominal clause — postmodifier of an adjective
Adverbial clause — function: A
Nominal clause — function: SC
Nominal clause — function: DO</x:v>
      </x:c>
      <x:c r="N32" s="10" t="str">
        <x:v>The highlighted clause completes and postmodifies the adjective.</x:v>
      </x:c>
      <x:c r="O32" s="12" t="n">
        <x:v>0.92</x:v>
      </x:c>
      <x:c r="P32" s="4" t="str">
        <x:v>en-1.0.0</x:v>
      </x:c>
      <x:c r="Q32" s="4" t="str">
        <x:v>5cee51d8a950b2e9bdf7133a6d97dcd20d2258c6fbb61e9d97b64b8e7249178d</x:v>
      </x:c>
      <x:c r="R32" s="4" t="str">
        <x:v>clause.nominal.adjective.postmodifier</x:v>
      </x:c>
      <x:c r="S32" s="4" t="str">
        <x:v>manual-review</x:v>
      </x:c>
      <x:c r="T32" s="4" t="str">
        <x:v>review</x:v>
      </x:c>
      <x:c r="U32" s="10" t="str">
        <x:v>CL-NOM-09
CL-NOM-10</x:v>
      </x:c>
      <x:c r="V32" s="10" t="str">
        <x:v>{"adapter_rule_id":"clause-nominal-adjective-postmodifier","deprels":["advmod","amod","aux","ccomp","mark","nsubj","obj"],"target_strategy":"clause-subtree","token_ids":[35,36,37,38,39,40,41],"upos":["ADJ","AUX","NOUN","PART","PROPN","SCONJ","VERB"],"xpos":["IN","JJ","NNPS","NNS","RB","VB","VBP"]}</x:v>
      </x:c>
      <x:c r="W32" s="4" t="str">
        <x:v>1.14.0</x:v>
      </x:c>
      <x:c r="X32" s="4" t="str">
        <x:v>51f32c3b4b77d2a460e8aeaeb653dbd240ad270b7f8b42110f509ff87c483711</x:v>
      </x:c>
      <x:c r="Y32" s="4" t="str">
        <x:v>needs-review</x:v>
      </x:c>
      <x:c r="Z32" s="10" t="str">
        <x:v>The reviewed contract requires human review.</x:v>
      </x:c>
      <x:c r="AA32" s="4" t="str">
        <x:v>manual guard</x:v>
      </x:c>
      <x:c r="AB32" s="16" t="str"/>
      <x:c r="AC32" s="18" t="str"/>
      <x:c r="AD32" s="18" t="str"/>
      <x:c r="AE32" s="18" t="str"/>
      <x:c r="AF32" s="20" t="str"/>
      <x:c r="AG32" s="21"/>
      <x:c r="AH32" s="22" t="str">
        <x:v>The reviewed contract requires human review.</x:v>
      </x:c>
    </x:row>
    <x:row r="33">
      <x:c r="A33" s="4" t="str">
        <x:v>AUTO-SENTENCE-ELEMENT-877f72e9a5bd2460</x:v>
      </x:c>
      <x:c r="B33" s="4" t="str">
        <x:v>REMAP-0da6c6f1b279bdce62e2</x:v>
      </x:c>
      <x:c r="C33" s="4" t="str">
        <x:v>oanc-journal-slate-articleip-1862-s0071</x:v>
      </x:c>
      <x:c r="D33" s="4" t="str">
        <x:v>journal</x:v>
      </x:c>
      <x:c r="E33" s="4" t="str">
        <x:v>OANC</x:v>
      </x:c>
      <x:c r="F33" s="4" t="str">
        <x:v>intermediate</x:v>
      </x:c>
      <x:c r="G33" s="10" t="str">
        <x:v>No one can predict if a film will make $100
million or lose it.</x:v>
      </x:c>
      <x:c r="H33" s="10" t="str">
        <x:v>if a film will make $100
million or lose it</x:v>
      </x:c>
      <x:c r="I33" s="4" t="str">
        <x:v>sentence-elements</x:v>
      </x:c>
      <x:c r="J33" s="4" t="str">
        <x:v>Sentence elements</x:v>
      </x:c>
      <x:c r="K33" s="4" t="str">
        <x:v>sentence_element</x:v>
      </x:c>
      <x:c r="L33" s="4" t="str">
        <x:v>DO — Direct Object</x:v>
      </x:c>
      <x:c r="M33" s="10" t="str">
        <x:v>DO — Direct Object
Formal S + Postponed S
IO — Indirect Object
P — Predicator</x:v>
      </x:c>
      <x:c r="N33" s="10" t="str">
        <x:v>The highlighted unit is the direct object: it is directly affected by the verb.</x:v>
      </x:c>
      <x:c r="O33" s="12" t="n">
        <x:v>0.59</x:v>
      </x:c>
      <x:c r="P33" s="4" t="str">
        <x:v>en-1.0.0</x:v>
      </x:c>
      <x:c r="Q33" s="4" t="str">
        <x:v>5cee51d8a950b2e9bdf7133a6d97dcd20d2258c6fbb61e9d97b64b8e7249178d</x:v>
      </x:c>
      <x:c r="R33" s="4" t="str">
        <x:v>se.clausal.direct.object.review</x:v>
      </x:c>
      <x:c r="S33" s="4" t="str">
        <x:v>manual-review</x:v>
      </x:c>
      <x:c r="T33" s="4" t="str">
        <x:v>review</x:v>
      </x:c>
      <x:c r="U33" s="10" t="str">
        <x:v>SE-DO-04
SE-DO-05
SE-DO-06</x:v>
      </x:c>
      <x:c r="V33" s="10" t="str">
        <x:v>{"adapter_rule_id":"se-clausal-direct-object","deprels":["aux","cc","ccomp","compound","conj","det","mark","nsubj","nummod","obj"],"target_strategy":"anchor-subtree","token_ids":[5,6,7,8,9,10,11,12,13,14,15],"upos":["AUX","CCONJ","DET","NOUN","NUM","PRON","SCONJ","SYM","VERB"],"xpos":["$","CC","CD","DT","IN","MD","NN","PRP","VB"]}</x:v>
      </x:c>
      <x:c r="W33" s="4" t="str">
        <x:v>1.14.0</x:v>
      </x:c>
      <x:c r="X33" s="4" t="str">
        <x:v>51f32c3b4b77d2a460e8aeaeb653dbd240ad270b7f8b42110f509ff87c483711</x:v>
      </x:c>
      <x:c r="Y33" s="4" t="str">
        <x:v>needs-review</x:v>
      </x:c>
      <x:c r="Z33" s="10" t="str">
        <x:v>The matrix verb does not license an automatic clausal-DO analysis.</x:v>
      </x:c>
      <x:c r="AA33" s="4" t="str">
        <x:v>manual guard</x:v>
      </x:c>
      <x:c r="AB33" s="16" t="str"/>
      <x:c r="AC33" s="18" t="str"/>
      <x:c r="AD33" s="18" t="str"/>
      <x:c r="AE33" s="18" t="str"/>
      <x:c r="AF33" s="20" t="str"/>
      <x:c r="AG33" s="21"/>
      <x:c r="AH33" s="22" t="str">
        <x:v>The matrix verb does not license an automatic clausal-DO analysis.</x:v>
      </x:c>
    </x:row>
    <x:row r="34">
      <x:c r="A34" s="4" t="str">
        <x:v>AUTO-SENTENCE-ELEMENT-ea4112fce9505192</x:v>
      </x:c>
      <x:c r="B34" s="4" t="str">
        <x:v>REMAP-c87f6583b7042ea1c0d8</x:v>
      </x:c>
      <x:c r="C34" s="4" t="str">
        <x:v>masc-email-email-12176-s0031</x:v>
      </x:c>
      <x:c r="D34" s="4" t="str">
        <x:v>email</x:v>
      </x:c>
      <x:c r="E34" s="4" t="str">
        <x:v>MASC</x:v>
      </x:c>
      <x:c r="F34" s="4" t="str">
        <x:v>intermediate</x:v>
      </x:c>
      <x:c r="G34" s="10" t="str">
        <x:v>He exchanged secret intelligence
information with his wife through their letters knowing that discovery
would mean more torture and perhaps death.</x:v>
      </x:c>
      <x:c r="H34" s="10" t="str">
        <x:v>knowing that discovery
would mean more torture and perhaps death</x:v>
      </x:c>
      <x:c r="I34" s="4" t="str">
        <x:v>sentence-elements</x:v>
      </x:c>
      <x:c r="J34" s="4" t="str">
        <x:v>Sentence elements</x:v>
      </x:c>
      <x:c r="K34" s="4" t="str">
        <x:v>sentence_element</x:v>
      </x:c>
      <x:c r="L34" s="4" t="str">
        <x:v>A — Adverbial</x:v>
      </x:c>
      <x:c r="M34" s="10" t="str">
        <x:v>A — Adverbial
Context needed
Operator
DO — Direct Object</x:v>
      </x:c>
      <x:c r="N34" s="10" t="str">
        <x:v>The highlighted unit adds circumstantial information to the clause.</x:v>
      </x:c>
      <x:c r="O34" s="12" t="n">
        <x:v>0.6</x:v>
      </x:c>
      <x:c r="P34" s="4" t="str">
        <x:v>en-1.0.0</x:v>
      </x:c>
      <x:c r="Q34" s="4" t="str">
        <x:v>5cee51d8a950b2e9bdf7133a6d97dcd20d2258c6fbb61e9d97b64b8e7249178d</x:v>
      </x:c>
      <x:c r="R34" s="4" t="str">
        <x:v>se.adverbial.clause.review</x:v>
      </x:c>
      <x:c r="S34" s="4" t="str">
        <x:v>manual-review</x:v>
      </x:c>
      <x:c r="T34" s="4" t="str">
        <x:v>review</x:v>
      </x:c>
      <x:c r="U34" s="10" t="str">
        <x:v>SE-A-06
SE-A-07</x:v>
      </x:c>
      <x:c r="V34" s="10" t="str">
        <x:v>{"adapter_rule_id":"se-adverbial-clause","deprels":["advcl","advmod","amod","aux","cc","ccomp","conj","mark","nsubj","obj"],"target_strategy":"anchor-subtree","token_ids":[12,13,14,15,16,17,18,19,20,21],"upos":["ADJ","ADV","AUX","CCONJ","NOUN","SCONJ","VERB"],"xpos":["CC","IN","JJR","MD","NN","RB","VB","VBG"]}</x:v>
      </x:c>
      <x:c r="W34" s="4" t="str">
        <x:v>1.14.0</x:v>
      </x:c>
      <x:c r="X34" s="4" t="str">
        <x:v>51f32c3b4b77d2a460e8aeaeb653dbd240ad270b7f8b42110f509ff87c483711</x:v>
      </x:c>
      <x:c r="Y34" s="4" t="str">
        <x:v>needs-review</x:v>
      </x:c>
      <x:c r="Z34" s="10" t="str">
        <x:v>An unmarked non-finite supplementive clause requires semantic review.</x:v>
      </x:c>
      <x:c r="AA34" s="4" t="str">
        <x:v>manual guard</x:v>
      </x:c>
      <x:c r="AB34" s="16" t="str"/>
      <x:c r="AC34" s="18" t="str"/>
      <x:c r="AD34" s="18" t="str"/>
      <x:c r="AE34" s="18" t="str"/>
      <x:c r="AF34" s="20" t="str"/>
      <x:c r="AG34" s="21"/>
      <x:c r="AH34" s="22" t="str">
        <x:v>An unmarked non-finite supplementive clause requires semantic review.</x:v>
      </x:c>
    </x:row>
    <x:row r="35">
      <x:c r="A35" s="4" t="str">
        <x:v>AUTO-SENTENCE-ELEMENT-48f1d16fd274699b</x:v>
      </x:c>
      <x:c r="B35" s="4" t="str">
        <x:v>REMAP-b01c6fb0688e2dc933d6</x:v>
      </x:c>
      <x:c r="C35" s="4" t="str">
        <x:v>masc-technical-technical-1468-6708-3-3-s0007</x:v>
      </x:c>
      <x:c r="D35" s="4" t="str">
        <x:v>technical</x:v>
      </x:c>
      <x:c r="E35" s="4" t="str">
        <x:v>MASC</x:v>
      </x:c>
      <x:c r="F35" s="4" t="str">
        <x:v>advanced</x:v>
      </x:c>
      <x:c r="G35" s="10" t="str">
        <x:v>MIRACL enrolled 3,086 patients within 24-96 hours (mean
        63 hours) of admission for unstable angina or a non-Q-wave
        myocardial infarction and randomized them to 16 weeks of
        atorvastatin 80 mg or placebo once daily [ 5 ] .</x:v>
      </x:c>
      <x:c r="H35" s="10" t="str">
        <x:v>to 16 weeks of
        atorvastatin 80 mg or placebo</x:v>
      </x:c>
      <x:c r="I35" s="4" t="str">
        <x:v>sentence-elements</x:v>
      </x:c>
      <x:c r="J35" s="4" t="str">
        <x:v>Sentence elements</x:v>
      </x:c>
      <x:c r="K35" s="4" t="str">
        <x:v>sentence_element</x:v>
      </x:c>
      <x:c r="L35" s="4" t="str">
        <x:v>A — Adverbial</x:v>
      </x:c>
      <x:c r="M35" s="10" t="str">
        <x:v>A — Adverbial
IO — Indirect Object
Context needed
A + A — two Adverbials</x:v>
      </x:c>
      <x:c r="N35" s="10" t="str">
        <x:v>The highlighted unit adds circumstantial information to the clause.</x:v>
      </x:c>
      <x:c r="O35" s="12" t="n">
        <x:v>0.61</x:v>
      </x:c>
      <x:c r="P35" s="4" t="str">
        <x:v>en-1.0.0</x:v>
      </x:c>
      <x:c r="Q35" s="4" t="str">
        <x:v>5cee51d8a950b2e9bdf7133a6d97dcd20d2258c6fbb61e9d97b64b8e7249178d</x:v>
      </x:c>
      <x:c r="R35" s="4" t="str">
        <x:v>se.adverbial.duration.review</x:v>
      </x:c>
      <x:c r="S35" s="4" t="str">
        <x:v>manual-review</x:v>
      </x:c>
      <x:c r="T35" s="4" t="str">
        <x:v>review</x:v>
      </x:c>
      <x:c r="U35" s="10" t="str">
        <x:v>SE-A-03</x:v>
      </x:c>
      <x:c r="V35" s="10" t="str">
        <x:v>{"adapter_rule_id":"se-adverbial-duration-review","deprels":["case","cc","compound","conj","nmod","nummod","obl"],"target_strategy":"anchor-subtree","token_ids":[28,29,30,31,32,33,34,35,36],"upos":["ADP","CCONJ","NOUN","NUM"],"xpos":["CC","CD","IN","NN","NNS"]}</x:v>
      </x:c>
      <x:c r="W35" s="4" t="str">
        <x:v>1.14.0</x:v>
      </x:c>
      <x:c r="X35" s="4" t="str">
        <x:v>51f32c3b4b77d2a460e8aeaeb653dbd240ad270b7f8b42110f509ff87c483711</x:v>
      </x:c>
      <x:c r="Y35" s="4" t="str">
        <x:v>needs-review</x:v>
      </x:c>
      <x:c r="Z35" s="10" t="str">
        <x:v>Duration noun phrases receive variable technical analyses and require confirmation as pedagogical A.</x:v>
      </x:c>
      <x:c r="AA35" s="4" t="str">
        <x:v>manual guard</x:v>
      </x:c>
      <x:c r="AB35" s="16" t="str"/>
      <x:c r="AC35" s="18" t="str"/>
      <x:c r="AD35" s="18" t="str"/>
      <x:c r="AE35" s="18" t="str"/>
      <x:c r="AF35" s="20" t="str"/>
      <x:c r="AG35" s="21"/>
      <x:c r="AH35" s="22" t="str">
        <x:v>Duration noun phrases receive variable technical analyses and require confirmation as pedagogical A.</x:v>
      </x:c>
    </x:row>
    <x:row r="36">
      <x:c r="A36" s="4" t="str">
        <x:v>AUTO-CLAUSE-TYPE-4b2473e530d89773</x:v>
      </x:c>
      <x:c r="B36" s="4" t="str">
        <x:v>REMAP-49a1c853c40415ae94c4</x:v>
      </x:c>
      <x:c r="C36" s="4" t="str">
        <x:v>masc-blog-blog-blog-monastery-s0034</x:v>
      </x:c>
      <x:c r="D36" s="4" t="str">
        <x:v>blog</x:v>
      </x:c>
      <x:c r="E36" s="4" t="str">
        <x:v>MASC</x:v>
      </x:c>
      <x:c r="F36" s="4" t="str">
        <x:v>intermediate</x:v>
      </x:c>
      <x:c r="G36" s="10" t="str">
        <x:v>She said
philosophy and epistemology were doing it right: looking at experiences from the inside.</x:v>
      </x:c>
      <x:c r="H36" s="10" t="str">
        <x:v>looking at experiences from the inside</x:v>
      </x:c>
      <x:c r="I36" s="4" t="str">
        <x:v>clauses</x:v>
      </x:c>
      <x:c r="J36" s="4" t="str">
        <x:v>Clause type</x:v>
      </x:c>
      <x:c r="K36" s="4" t="str">
        <x:v>clause_type</x:v>
      </x:c>
      <x:c r="L36" s="4" t="str">
        <x:v>Supplementive non-finite clause — function: A</x:v>
      </x:c>
      <x:c r="M36" s="10" t="str">
        <x:v>Supplementive non-finite clause — function: A
Place / free-choice adverbial clause
Negative-conditional adverbial clause
Nominal clause — function: DO</x:v>
      </x:c>
      <x:c r="N36" s="10" t="str">
        <x:v>The highlighted non-finite supplementive clause functions as an adverbial.</x:v>
      </x:c>
      <x:c r="O36" s="12" t="n">
        <x:v>0.61</x:v>
      </x:c>
      <x:c r="P36" s="4" t="str">
        <x:v>en-1.0.0</x:v>
      </x:c>
      <x:c r="Q36" s="4" t="str">
        <x:v>5cee51d8a950b2e9bdf7133a6d97dcd20d2258c6fbb61e9d97b64b8e7249178d</x:v>
      </x:c>
      <x:c r="R36" s="4" t="str">
        <x:v>clause.supplementive.review</x:v>
      </x:c>
      <x:c r="S36" s="4" t="str">
        <x:v>manual-review</x:v>
      </x:c>
      <x:c r="T36" s="4" t="str">
        <x:v>review</x:v>
      </x:c>
      <x:c r="U36" s="10" t="str">
        <x:v>CL-ADV-11</x:v>
      </x:c>
      <x:c r="V36" s="10" t="str">
        <x:v>{"adapter_rule_id":"clause-supplementive-review","deprels":["advcl","case","det","nmod","obl"],"target_strategy":"clause-subtree","token_ids":[11,12,13,14,15,16],"upos":["ADP","DET","NOUN","VERB"],"xpos":["DT","IN","NN","NNS","VBG"]}</x:v>
      </x:c>
      <x:c r="W36" s="4" t="str">
        <x:v>1.14.0</x:v>
      </x:c>
      <x:c r="X36" s="4" t="str">
        <x:v>51f32c3b4b77d2a460e8aeaeb653dbd240ad270b7f8b42110f509ff87c483711</x:v>
      </x:c>
      <x:c r="Y36" s="4" t="str">
        <x:v>needs-review</x:v>
      </x:c>
      <x:c r="Z36" s="10" t="str">
        <x:v>The supplementive function is structurally plausible, but its semantic subtype requires review.</x:v>
      </x:c>
      <x:c r="AA36" s="4" t="str">
        <x:v>manual guard</x:v>
      </x:c>
      <x:c r="AB36" s="16" t="str"/>
      <x:c r="AC36" s="18" t="str"/>
      <x:c r="AD36" s="18" t="str"/>
      <x:c r="AE36" s="18" t="str"/>
      <x:c r="AF36" s="20" t="str"/>
      <x:c r="AG36" s="21"/>
      <x:c r="AH36" s="22" t="str">
        <x:v>The supplementive function is structurally plausible, but its semantic subtype requires review.</x:v>
      </x:c>
    </x:row>
    <x:row r="37">
      <x:c r="A37" s="4" t="str">
        <x:v>AUTO-CLAUSE-TYPE-3b8781d3ff094d8b</x:v>
      </x:c>
      <x:c r="B37" s="4" t="str">
        <x:v>REMAP-63c4374462cc528a2151</x:v>
      </x:c>
      <x:c r="C37" s="4" t="str">
        <x:v>masc-travel-travel-historyjerusalem-s0048</x:v>
      </x:c>
      <x:c r="D37" s="4" t="str">
        <x:v>travel</x:v>
      </x:c>
      <x:c r="E37" s="4" t="str">
        <x:v>MASC</x:v>
      </x:c>
      <x:c r="F37" s="4" t="str">
        <x:v>intermediate</x:v>
      </x:c>
      <x:c r="G37" s="10" t="str">
        <x:v>In about a.d. 30 he and his
        followers went for Passover to Jerusalem, which was in unrest at this
        time, dissatisfied with Roman domination.</x:v>
      </x:c>
      <x:c r="H37" s="10" t="str">
        <x:v>dissatisfied with Roman domination</x:v>
      </x:c>
      <x:c r="I37" s="4" t="str">
        <x:v>clauses</x:v>
      </x:c>
      <x:c r="J37" s="4" t="str">
        <x:v>Clause type</x:v>
      </x:c>
      <x:c r="K37" s="4" t="str">
        <x:v>clause_type</x:v>
      </x:c>
      <x:c r="L37" s="4" t="str">
        <x:v>Adverbial clause — function: A</x:v>
      </x:c>
      <x:c r="M37" s="10" t="str">
        <x:v>Adverbial clause — function: A
Supplementive non-finite clause — function: A
Causal adverbial clause
Temporal adverbial clause</x:v>
      </x:c>
      <x:c r="N37" s="10" t="str">
        <x:v>The highlighted clause functions as an adverbial in the larger sentence.</x:v>
      </x:c>
      <x:c r="O37" s="12" t="n">
        <x:v>0.59</x:v>
      </x:c>
      <x:c r="P37" s="4" t="str">
        <x:v>en-1.0.0</x:v>
      </x:c>
      <x:c r="Q37" s="4" t="str">
        <x:v>5cee51d8a950b2e9bdf7133a6d97dcd20d2258c6fbb61e9d97b64b8e7249178d</x:v>
      </x:c>
      <x:c r="R37" s="4" t="str">
        <x:v>clause.generic.adverbial.review</x:v>
      </x:c>
      <x:c r="S37" s="4" t="str">
        <x:v>manual-review</x:v>
      </x:c>
      <x:c r="T37" s="4" t="str">
        <x:v>review</x:v>
      </x:c>
      <x:c r="U37" s="10" t="str">
        <x:v>CL-ADV-14
CL-ADV-15</x:v>
      </x:c>
      <x:c r="V37" s="10" t="str">
        <x:v>{"adapter_rule_id":"clause-generic-adverbial","deprels":["advcl","amod","case","obl"],"target_strategy":"clause-subtree","token_ids":[23,24,25,26],"upos":["ADJ","ADP","NOUN"],"xpos":["IN","JJ","NN"]}</x:v>
      </x:c>
      <x:c r="W37" s="4" t="str">
        <x:v>1.14.0</x:v>
      </x:c>
      <x:c r="X37" s="4" t="str">
        <x:v>51f32c3b4b77d2a460e8aeaeb653dbd240ad270b7f8b42110f509ff87c483711</x:v>
      </x:c>
      <x:c r="Y37" s="4" t="str">
        <x:v>needs-review</x:v>
      </x:c>
      <x:c r="Z37" s="10" t="str">
        <x:v>The reduced clause lacks an overt finite verb and requires manual confirmation.</x:v>
      </x:c>
      <x:c r="AA37" s="4" t="str">
        <x:v>manual guard</x:v>
      </x:c>
      <x:c r="AB37" s="16" t="str"/>
      <x:c r="AC37" s="18" t="str"/>
      <x:c r="AD37" s="18" t="str"/>
      <x:c r="AE37" s="18" t="str"/>
      <x:c r="AF37" s="20" t="str"/>
      <x:c r="AG37" s="21"/>
      <x:c r="AH37" s="22" t="str">
        <x:v>The reduced clause lacks an overt finite verb and requires manual confirmation.</x:v>
      </x:c>
    </x:row>
    <x:row r="38">
      <x:c r="A38" s="4" t="str">
        <x:v>AUTO-CLAUSE-STRUCTURE-e5adacb75e26cf9a</x:v>
      </x:c>
      <x:c r="B38" s="4" t="str">
        <x:v>REMAP-bfc6481cea89e72a5bc3</x:v>
      </x:c>
      <x:c r="C38" s="4" t="str">
        <x:v>oanc-journal-verbatim-vol19-3-s0092</x:v>
      </x:c>
      <x:c r="D38" s="4" t="str">
        <x:v>journal</x:v>
      </x:c>
      <x:c r="E38" s="4" t="str">
        <x:v>OANC</x:v>
      </x:c>
      <x:c r="F38" s="4" t="str">
        <x:v>intermediate</x:v>
      </x:c>
      <x:c r="G38" s="10" t="str">
        <x:v>As a student of mine once remarked, I suppose
it is all part of the wonder about being alive.</x:v>
      </x:c>
      <x:c r="H38" s="10" t="str">
        <x:v>about being alive</x:v>
      </x:c>
      <x:c r="I38" s="4" t="str">
        <x:v>clauses</x:v>
      </x:c>
      <x:c r="J38" s="4" t="str">
        <x:v>Clause structure</x:v>
      </x:c>
      <x:c r="K38" s="4" t="str">
        <x:v>clause_structure</x:v>
      </x:c>
      <x:c r="L38" s="4" t="str">
        <x:v>Reduced / verbless clause</x:v>
      </x:c>
      <x:c r="M38" s="10" t="str">
        <x:v>Reduced / verbless clause
-ing clause
Finite wh-clause
Finite whether/if-clause</x:v>
      </x:c>
      <x:c r="N38" s="10" t="str">
        <x:v>The highlighted subordinate unit is reduced and has no overt finite verb.</x:v>
      </x:c>
      <x:c r="O38" s="12" t="n">
        <x:v>0.58</x:v>
      </x:c>
      <x:c r="P38" s="4" t="str">
        <x:v>en-1.0.0</x:v>
      </x:c>
      <x:c r="Q38" s="4" t="str">
        <x:v>5cee51d8a950b2e9bdf7133a6d97dcd20d2258c6fbb61e9d97b64b8e7249178d</x:v>
      </x:c>
      <x:c r="R38" s="4" t="str">
        <x:v>structure.reduced.review</x:v>
      </x:c>
      <x:c r="S38" s="4" t="str">
        <x:v>manual-review</x:v>
      </x:c>
      <x:c r="T38" s="4" t="str">
        <x:v>review</x:v>
      </x:c>
      <x:c r="U38" s="10" t="str">
        <x:v>CL-STR-09</x:v>
      </x:c>
      <x:c r="V38" s="10" t="str">
        <x:v>{"adapter_rule_id":"structure-reduced-review","deprels":["advcl","cop","mark"],"target_strategy":"clause-subtree","token_ids":[18,19,20],"upos":["ADJ","AUX","SCONJ"],"xpos":["IN","JJ","VBG"]}</x:v>
      </x:c>
      <x:c r="W38" s="4" t="str">
        <x:v>1.14.0</x:v>
      </x:c>
      <x:c r="X38" s="4" t="str">
        <x:v>51f32c3b4b77d2a460e8aeaeb653dbd240ad270b7f8b42110f509ff87c483711</x:v>
      </x:c>
      <x:c r="Y38" s="4" t="str">
        <x:v>needs-review</x:v>
      </x:c>
      <x:c r="Z38" s="10" t="str">
        <x:v>Reduced adjective-based clauses are not represented consistently by automatic dependency parses.</x:v>
      </x:c>
      <x:c r="AA38" s="4" t="str">
        <x:v>manual guard</x:v>
      </x:c>
      <x:c r="AB38" s="16" t="str"/>
      <x:c r="AC38" s="18" t="str"/>
      <x:c r="AD38" s="18" t="str"/>
      <x:c r="AE38" s="18" t="str"/>
      <x:c r="AF38" s="20" t="str"/>
      <x:c r="AG38" s="21"/>
      <x:c r="AH38" s="22" t="str">
        <x:v>Reduced adjective-based clauses are not represented consistently by automatic dependency parses.</x:v>
      </x:c>
    </x:row>
    <x:row r="39">
      <x:c r="A39" s="4" t="str">
        <x:v>AUTO-CLAUSE-TYPE-48e24d1cfa4f4cce</x:v>
      </x:c>
      <x:c r="B39" s="4" t="str">
        <x:v>REMAP-1acae8b8351d958f72a2</x:v>
      </x:c>
      <x:c r="C39" s="4" t="str">
        <x:v>masc-debate-debate-2nd-gore-bush-s0269</x:v>
      </x:c>
      <x:c r="D39" s="4" t="str">
        <x:v>debate</x:v>
      </x:c>
      <x:c r="E39" s="4" t="str">
        <x:v>MASC</x:v>
      </x:c>
      <x:c r="F39" s="4" t="str">
        <x:v>intermediate</x:v>
      </x:c>
      <x:c r="G39" s="10" t="str">
        <x:v>My wife Tipper, who is here, actually went on a military plane with General Sholicatchvieli on one of those flights.</x:v>
      </x:c>
      <x:c r="H39" s="10" t="str">
        <x:v>My wife Tipper … actually went on a military plane with General Sholicatchvieli on one of those flights</x:v>
      </x:c>
      <x:c r="I39" s="4" t="str">
        <x:v>clauses</x:v>
      </x:c>
      <x:c r="J39" s="4" t="str">
        <x:v>Clause type</x:v>
      </x:c>
      <x:c r="K39" s="4" t="str">
        <x:v>clause_type</x:v>
      </x:c>
      <x:c r="L39" s="4" t="str">
        <x:v>Main clause</x:v>
      </x:c>
      <x:c r="M39" s="10" t="str">
        <x:v>Main clause
Place / free-choice adverbial clause
Manner / comparison adverbial clause
Purpose adverbial clause</x:v>
      </x:c>
      <x:c r="N39" s="10" t="str">
        <x:v>The highlighted clause is the independent main clause of the sentence.</x:v>
      </x:c>
      <x:c r="O39" s="12" t="n">
        <x:v>0.58</x:v>
      </x:c>
      <x:c r="P39" s="4" t="str">
        <x:v>en-1.0.0</x:v>
      </x:c>
      <x:c r="Q39" s="4" t="str">
        <x:v>5cee51d8a950b2e9bdf7133a6d97dcd20d2258c6fbb61e9d97b64b8e7249178d</x:v>
      </x:c>
      <x:c r="R39" s="4" t="str">
        <x:v>clause.main.complex.review</x:v>
      </x:c>
      <x:c r="S39" s="4" t="str">
        <x:v>manual-review</x:v>
      </x:c>
      <x:c r="T39" s="4" t="str">
        <x:v>review</x:v>
      </x:c>
      <x:c r="U39" s="10" t="str">
        <x:v>CL-MAIN-01</x:v>
      </x:c>
      <x:c r="V39" s="10" t="str">
        <x:v>{"adapter_rule_id":"clause-main-complex-review","deprels":["advmod","amod","appos","case","det","nmod","nmod:desc","nmod:poss","nsubj","obl","root"],"target_strategy":"clause-subtree","token_ids":[1,2,3,9,10,11,12,13,14,15,16,17,18,19,20,21,22],"upos":["ADJ","ADP","ADV","DET","NOUN","NUM","PRON","PROPN","VERB"],"xpos":["CD","DT","IN","JJ","NN","NNP","NNS","PRP$","RB","VBD"]}</x:v>
      </x:c>
      <x:c r="W39" s="4" t="str">
        <x:v>1.14.0</x:v>
      </x:c>
      <x:c r="X39" s="4" t="str">
        <x:v>51f32c3b4b77d2a460e8aeaeb653dbd240ad270b7f8b42110f509ff87c483711</x:v>
      </x:c>
      <x:c r="Y39" s="4" t="str">
        <x:v>needs-review</x:v>
      </x:c>
      <x:c r="Z39" s="10" t="str">
        <x:v>Nested clause boundaries make the matrix clause discontinuous; confirm the teaching highlight.</x:v>
      </x:c>
      <x:c r="AA39" s="4" t="str">
        <x:v>manual guard</x:v>
      </x:c>
      <x:c r="AB39" s="16" t="str"/>
      <x:c r="AC39" s="18" t="str"/>
      <x:c r="AD39" s="18" t="str"/>
      <x:c r="AE39" s="18" t="str"/>
      <x:c r="AF39" s="20" t="str"/>
      <x:c r="AG39" s="21"/>
      <x:c r="AH39" s="22" t="str">
        <x:v>Nested clause boundaries make the matrix clause discontinuous; confirm the teaching highlight.</x:v>
      </x:c>
    </x:row>
    <x:row r="40">
      <x:c r="A40" s="4" t="str">
        <x:v>AUTO-CLAUSE-FUNCTION-4136a6159094968b</x:v>
      </x:c>
      <x:c r="B40" s="4" t="str">
        <x:v>REMAP-6064e1158ff3f5d46f8a</x:v>
      </x:c>
      <x:c r="C40" s="4" t="str">
        <x:v>oanc-travel-berlitz2-puertorico-wheretogo-s0515</x:v>
      </x:c>
      <x:c r="D40" s="4" t="str">
        <x:v>travel</x:v>
      </x:c>
      <x:c r="E40" s="4" t="str">
        <x:v>OANC</x:v>
      </x:c>
      <x:c r="F40" s="4" t="str">
        <x:v>intermediate</x:v>
      </x:c>
      <x:c r="G40" s="10" t="str">
        <x:v>When the all-consuming fire of 1831 broke out, 64 families were worshipping in the small synagogue.</x:v>
      </x:c>
      <x:c r="H40" s="10" t="str">
        <x:v>When the all-consuming fire of 1831 broke out</x:v>
      </x:c>
      <x:c r="I40" s="4" t="str">
        <x:v>clauses</x:v>
      </x:c>
      <x:c r="J40" s="4" t="str">
        <x:v>Clause function</x:v>
      </x:c>
      <x:c r="K40" s="4" t="str">
        <x:v>clause_function</x:v>
      </x:c>
      <x:c r="L40" s="4" t="str">
        <x:v>A — Adverbial</x:v>
      </x:c>
      <x:c r="M40" s="10" t="str">
        <x:v>A — Adverbial
S — Subject
SC — Subject Complement
PostM — Postmodifier</x:v>
      </x:c>
      <x:c r="N40" s="10" t="str">
        <x:v>The highlighted clause functions as an adverbial.</x:v>
      </x:c>
      <x:c r="O40" s="12" t="n">
        <x:v>0.61</x:v>
      </x:c>
      <x:c r="P40" s="4" t="str">
        <x:v>en-1.0.0</x:v>
      </x:c>
      <x:c r="Q40" s="4" t="str">
        <x:v>5cee51d8a950b2e9bdf7133a6d97dcd20d2258c6fbb61e9d97b64b8e7249178d</x:v>
      </x:c>
      <x:c r="R40" s="4" t="str">
        <x:v>function.clause.adverbial.review</x:v>
      </x:c>
      <x:c r="S40" s="4" t="str">
        <x:v>manual-review</x:v>
      </x:c>
      <x:c r="T40" s="4" t="str">
        <x:v>review</x:v>
      </x:c>
      <x:c r="U40" s="10" t="str">
        <x:v>CL-FUNC-04</x:v>
      </x:c>
      <x:c r="V40" s="10" t="str">
        <x:v>{"adapter_rule_id":"function-clause-adverbial","deprels":["advcl","advmod","amod","case","compound","compound:prt","det","nmod","nsubj","punct"],"target_strategy":"clause-subtree","token_ids":[1,2,3,4,5,6,7,8,9,10],"upos":["ADP","ADV","DET","NOUN","NUM","PUNCT","VERB"],"xpos":["CD","DT","HYPH","IN","NN","RP","VBD","VBG","WRB"]}</x:v>
      </x:c>
      <x:c r="W40" s="4" t="str">
        <x:v>1.14.0</x:v>
      </x:c>
      <x:c r="X40" s="4" t="str">
        <x:v>51f32c3b4b77d2a460e8aeaeb653dbd240ad270b7f8b42110f509ff87c483711</x:v>
      </x:c>
      <x:c r="Y40" s="4" t="str">
        <x:v>needs-review</x:v>
      </x:c>
      <x:c r="Z40" s="10" t="str">
        <x:v>An unmarked supplementive clause requires review before assigning A.</x:v>
      </x:c>
      <x:c r="AA40" s="4" t="str">
        <x:v>manual guard</x:v>
      </x:c>
      <x:c r="AB40" s="16" t="str"/>
      <x:c r="AC40" s="18" t="str"/>
      <x:c r="AD40" s="18" t="str"/>
      <x:c r="AE40" s="18" t="str"/>
      <x:c r="AF40" s="20" t="str"/>
      <x:c r="AG40" s="21"/>
      <x:c r="AH40" s="22" t="str">
        <x:v>An unmarked supplementive clause requires review before assigning A.</x:v>
      </x:c>
    </x:row>
    <x:row r="41">
      <x:c r="A41" s="4" t="str">
        <x:v>AUTO-SENTENCE-ELEMENT-c103c140ee466cee</x:v>
      </x:c>
      <x:c r="B41" s="4" t="str">
        <x:v>REMAP-22e156f9ff9852ea188e</x:v>
      </x:c>
      <x:c r="C41" s="4" t="str">
        <x:v>masc-letters-letters-116cul033-s0002</x:v>
      </x:c>
      <x:c r="D41" s="4" t="str">
        <x:v>letters</x:v>
      </x:c>
      <x:c r="E41" s="4" t="str">
        <x:v>MASC</x:v>
      </x:c>
      <x:c r="F41" s="4" t="str">
        <x:v>advanced</x:v>
      </x:c>
      <x:c r="G41" s="10" t="str">
        <x:v>This is the time of year when our thoughts turn to ways to do things
      differently, things that will make our lives better and improve the
      quality of our life.</x:v>
      </x:c>
      <x:c r="H41" s="10" t="str">
        <x:v>the time of year</x:v>
      </x:c>
      <x:c r="I41" s="4" t="str">
        <x:v>sentence-elements</x:v>
      </x:c>
      <x:c r="J41" s="4" t="str">
        <x:v>Sentence elements</x:v>
      </x:c>
      <x:c r="K41" s="4" t="str">
        <x:v>sentence_element</x:v>
      </x:c>
      <x:c r="L41" s="4" t="str">
        <x:v>SC — Subject Complement</x:v>
      </x:c>
      <x:c r="M41" s="10" t="str">
        <x:v>SC — Subject Complement
A + A — two Adverbials
S — Subject
P — Predicator</x:v>
      </x:c>
      <x:c r="N41" s="10" t="str">
        <x:v>The highlighted unit completes the description or identification of the subject.</x:v>
      </x:c>
      <x:c r="O41" s="12" t="n">
        <x:v>0.62</x:v>
      </x:c>
      <x:c r="P41" s="4" t="str">
        <x:v>en-1.0.0</x:v>
      </x:c>
      <x:c r="Q41" s="4" t="str">
        <x:v>5cee51d8a950b2e9bdf7133a6d97dcd20d2258c6fbb61e9d97b64b8e7249178d</x:v>
      </x:c>
      <x:c r="R41" s="4" t="str">
        <x:v>se.copular.temporal.review</x:v>
      </x:c>
      <x:c r="S41" s="4" t="str">
        <x:v>manual-review</x:v>
      </x:c>
      <x:c r="T41" s="4" t="str">
        <x:v>review</x:v>
      </x:c>
      <x:c r="U41" s="10" t="str">
        <x:v>REVIEW-02</x:v>
      </x:c>
      <x:c r="V41" s="10" t="str">
        <x:v>{"adapter_rule_id":"se-copular-temporal-review","deprels":["case","det","nmod","root"],"target_strategy":"anchor-subtree","token_ids":[3,4,5,6],"upos":["ADP","DET","NOUN"],"xpos":["DT","IN","NN"]}</x:v>
      </x:c>
      <x:c r="W41" s="4" t="str">
        <x:v>1.14.0</x:v>
      </x:c>
      <x:c r="X41" s="4" t="str">
        <x:v>51f32c3b4b77d2a460e8aeaeb653dbd240ad270b7f8b42110f509ff87c483711</x:v>
      </x:c>
      <x:c r="Y41" s="4" t="str">
        <x:v>needs-review</x:v>
      </x:c>
      <x:c r="Z41" s="10" t="str">
        <x:v>A temporal expression after copular be can be analysed as SC or A; the reviewed framework requires confirmation.</x:v>
      </x:c>
      <x:c r="AA41" s="4" t="str">
        <x:v>manual guard</x:v>
      </x:c>
      <x:c r="AB41" s="16" t="str"/>
      <x:c r="AC41" s="18" t="str"/>
      <x:c r="AD41" s="18" t="str"/>
      <x:c r="AE41" s="18" t="str"/>
      <x:c r="AF41" s="20" t="str"/>
      <x:c r="AG41" s="21"/>
      <x:c r="AH41" s="22" t="str">
        <x:v>A temporal expression after copular be can be analysed as SC or A; the reviewed framework requires confirmation.</x:v>
      </x:c>
    </x:row>
    <x:row r="42">
      <x:c r="A42" s="4" t="str">
        <x:v>AUTO-CLAUSE-FUNCTION-389f54e4b0dcbba6</x:v>
      </x:c>
      <x:c r="B42" s="4" t="str">
        <x:v>REMAP-4d24d4dc0d1fde545a34</x:v>
      </x:c>
      <x:c r="C42" s="4" t="str">
        <x:v>oanc-travel-berlitz1-introfrance-s0041</x:v>
      </x:c>
      <x:c r="D42" s="4" t="str">
        <x:v>travel</x:v>
      </x:c>
      <x:c r="E42" s="4" t="str">
        <x:v>OANC</x:v>
      </x:c>
      <x:c r="F42" s="4" t="str">
        <x:v>intermediate</x:v>
      </x:c>
      <x:c r="G42" s="10" t="str">
        <x:v>All feature a blend
        of ancient and modern, of dignity and fun, and strive to make the
        visitor feel welcome and treasured.</x:v>
      </x:c>
      <x:c r="H42" s="10" t="str">
        <x:v>feel welcome and treasured</x:v>
      </x:c>
      <x:c r="I42" s="4" t="str">
        <x:v>clauses</x:v>
      </x:c>
      <x:c r="J42" s="4" t="str">
        <x:v>Clause function</x:v>
      </x:c>
      <x:c r="K42" s="4" t="str">
        <x:v>clause_function</x:v>
      </x:c>
      <x:c r="L42" s="4" t="str">
        <x:v>OC / Clausal object</x:v>
      </x:c>
      <x:c r="M42" s="10" t="str">
        <x:v>OC / Clausal object
PostM — Postmodifier
S — Subject
A — Adverbial</x:v>
      </x:c>
      <x:c r="N42" s="10" t="str">
        <x:v>The highlighted non-finite clause requires the course analysis used for object complementation.</x:v>
      </x:c>
      <x:c r="O42" s="12" t="n">
        <x:v>0.6</x:v>
      </x:c>
      <x:c r="P42" s="4" t="str">
        <x:v>en-1.0.0</x:v>
      </x:c>
      <x:c r="Q42" s="4" t="str">
        <x:v>5cee51d8a950b2e9bdf7133a6d97dcd20d2258c6fbb61e9d97b64b8e7249178d</x:v>
      </x:c>
      <x:c r="R42" s="4" t="str">
        <x:v>function.clause.object.complement.review.review.oc-clausal-object-the-non-finite-clause-ca</x:v>
      </x:c>
      <x:c r="S42" s="4" t="str">
        <x:v>manual-review</x:v>
      </x:c>
      <x:c r="T42" s="4" t="str">
        <x:v>review</x:v>
      </x:c>
      <x:c r="U42" s="10" t="str">
        <x:v>CL-FUNC-06</x:v>
      </x:c>
      <x:c r="V42" s="10" t="str">
        <x:v>{"adapter_rule_id":"function-clause-object-complement-review","deprels":["cc","conj","xcomp"],"target_strategy":"clause-subtree","token_ids":[21,22,23,24],"upos":["ADJ","CCONJ","VERB"],"xpos":["CC","JJ","VB","VBN"]}</x:v>
      </x:c>
      <x:c r="W42" s="4" t="str">
        <x:v>1.14.0</x:v>
      </x:c>
      <x:c r="X42" s="4" t="str">
        <x:v>51f32c3b4b77d2a460e8aeaeb653dbd240ad270b7f8b42110f509ff87c483711</x:v>
      </x:c>
      <x:c r="Y42" s="4" t="str">
        <x:v>needs-review</x:v>
      </x:c>
      <x:c r="Z42" s="10" t="str">
        <x:v>The non-finite clause can be analysed as OC or a clausal object depending on the teaching convention.</x:v>
      </x:c>
      <x:c r="AA42" s="4" t="str">
        <x:v>manual guard</x:v>
      </x:c>
      <x:c r="AB42" s="16" t="str"/>
      <x:c r="AC42" s="18" t="str"/>
      <x:c r="AD42" s="18" t="str"/>
      <x:c r="AE42" s="18" t="str"/>
      <x:c r="AF42" s="20" t="str"/>
      <x:c r="AG42" s="21"/>
      <x:c r="AH42" s="22" t="str">
        <x:v>The non-finite clause can be analysed as OC or a clausal object depending on the teaching convention.</x:v>
      </x:c>
    </x:row>
    <x:row r="43">
      <x:c r="A43" s="4" t="str">
        <x:v>AUTO-CLAUSE-STRUCTURE-859d00962922bab6</x:v>
      </x:c>
      <x:c r="B43" s="4" t="str">
        <x:v>REMAP-fd3739bfb6231f7abbdd</x:v>
      </x:c>
      <x:c r="C43" s="4" t="str">
        <x:v>oanc-travel-berlitz2-algarve-history-s0078</x:v>
      </x:c>
      <x:c r="D43" s="4" t="str">
        <x:v>travel</x:v>
      </x:c>
      <x:c r="E43" s="4" t="str">
        <x:v>OANC</x:v>
      </x:c>
      <x:c r="F43" s="4" t="str">
        <x:v>intermediate</x:v>
      </x:c>
      <x:c r="G43" s="10" t="str">
        <x:v>Witnesses claim to have seen a fiery volcano erupt from beneath the sea just before the first jolt.</x:v>
      </x:c>
      <x:c r="H43" s="10" t="str">
        <x:v>erupt from beneath the sea just before the first jolt</x:v>
      </x:c>
      <x:c r="I43" s="4" t="str">
        <x:v>clauses</x:v>
      </x:c>
      <x:c r="J43" s="4" t="str">
        <x:v>Clause structure</x:v>
      </x:c>
      <x:c r="K43" s="4" t="str">
        <x:v>clause_structure</x:v>
      </x:c>
      <x:c r="L43" s="4" t="str">
        <x:v>Bare infinitival clause</x:v>
      </x:c>
      <x:c r="M43" s="10" t="str">
        <x:v>Bare infinitival clause
Comparative clause
Finite whether/if-clause
Finite that-clause</x:v>
      </x:c>
      <x:c r="N43" s="10" t="str">
        <x:v>The highlighted non-finite clause uses the plain verb form without infinitival “to”.</x:v>
      </x:c>
      <x:c r="O43" s="12" t="n">
        <x:v>0.61</x:v>
      </x:c>
      <x:c r="P43" s="4" t="str">
        <x:v>en-1.0.0</x:v>
      </x:c>
      <x:c r="Q43" s="4" t="str">
        <x:v>5cee51d8a950b2e9bdf7133a6d97dcd20d2258c6fbb61e9d97b64b8e7249178d</x:v>
      </x:c>
      <x:c r="R43" s="4" t="str">
        <x:v>structure.bare.infinitive.review</x:v>
      </x:c>
      <x:c r="S43" s="4" t="str">
        <x:v>manual-review</x:v>
      </x:c>
      <x:c r="T43" s="4" t="str">
        <x:v>review</x:v>
      </x:c>
      <x:c r="U43" s="10" t="str">
        <x:v>CL-STR-06</x:v>
      </x:c>
      <x:c r="V43" s="10" t="str">
        <x:v>{"adapter_rule_id":"structure-bare-infinitive-review","deprels":["advmod","amod","case","det","obl","xcomp"],"target_strategy":"clause-subtree","token_ids":[9,10,11,12,13,14,15,16,17,18],"upos":["ADJ","ADP","ADV","DET","NOUN","VERB"],"xpos":["DT","IN","JJ","NN","RB","VB"]}</x:v>
      </x:c>
      <x:c r="W43" s="4" t="str">
        <x:v>1.14.0</x:v>
      </x:c>
      <x:c r="X43" s="4" t="str">
        <x:v>51f32c3b4b77d2a460e8aeaeb653dbd240ad270b7f8b42110f509ff87c483711</x:v>
      </x:c>
      <x:c r="Y43" s="4" t="str">
        <x:v>needs-review</x:v>
      </x:c>
      <x:c r="Z43" s="10" t="str">
        <x:v>A bare infinitive after a perception or causative verb requires confirmation against the teaching analysis.</x:v>
      </x:c>
      <x:c r="AA43" s="4" t="str">
        <x:v>manual guard</x:v>
      </x:c>
      <x:c r="AB43" s="16" t="str"/>
      <x:c r="AC43" s="18" t="str"/>
      <x:c r="AD43" s="18" t="str"/>
      <x:c r="AE43" s="18" t="str"/>
      <x:c r="AF43" s="20" t="str"/>
      <x:c r="AG43" s="21"/>
      <x:c r="AH43" s="22" t="str">
        <x:v>A bare infinitive after a perception or causative verb requires confirmation against the teaching analysis.</x:v>
      </x:c>
    </x:row>
    <x:row r="44">
      <x:c r="A44" s="4" t="str">
        <x:v>AUTO-SENTENCE-ELEMENT-ac2948cf7d34b2fb</x:v>
      </x:c>
      <x:c r="B44" s="4" t="str">
        <x:v>REMAP-0e04cf57e8072f09ab37</x:v>
      </x:c>
      <x:c r="C44" s="4" t="str">
        <x:v>masc-newspaper-newspaper-nytnewswire9-s0042</x:v>
      </x:c>
      <x:c r="D44" s="4" t="str">
        <x:v>newspaper</x:v>
      </x:c>
      <x:c r="E44" s="4" t="str">
        <x:v>MASC</x:v>
      </x:c>
      <x:c r="F44" s="4" t="str">
        <x:v>basic</x:v>
      </x:c>
      <x:c r="G44" s="10" t="str">
        <x:v>In Karnes, Tibbets found a kindred spirit -- and a handball
partner.</x:v>
      </x:c>
      <x:c r="H44" s="10" t="str">
        <x:v>In Karnes</x:v>
      </x:c>
      <x:c r="I44" s="4" t="str">
        <x:v>sentence-elements</x:v>
      </x:c>
      <x:c r="J44" s="4" t="str">
        <x:v>Sentence elements</x:v>
      </x:c>
      <x:c r="K44" s="4" t="str">
        <x:v>sentence_element</x:v>
      </x:c>
      <x:c r="L44" s="4" t="str">
        <x:v>Context needed</x:v>
      </x:c>
      <x:c r="M44" s="10" t="str">
        <x:v>Context needed
SC — Subject Complement
P — Predicator
IO — Indirect Object</x:v>
      </x:c>
      <x:c r="N44" s="10" t="str">
        <x:v>The available sentence permits more than one defensible attachment or function, so a manual decision is required.</x:v>
      </x:c>
      <x:c r="O44" s="12" t="n">
        <x:v>0.45</x:v>
      </x:c>
      <x:c r="P44" s="4" t="str">
        <x:v>en-1.0.0</x:v>
      </x:c>
      <x:c r="Q44" s="4" t="str">
        <x:v>5cee51d8a950b2e9bdf7133a6d97dcd20d2258c6fbb61e9d97b64b8e7249178d</x:v>
      </x:c>
      <x:c r="R44" s="4" t="str">
        <x:v>se.ambiguous.pp.review.review.context-needed-pp-attachment-is-ambiguous-</x:v>
      </x:c>
      <x:c r="S44" s="4" t="str">
        <x:v>manual-review</x:v>
      </x:c>
      <x:c r="T44" s="4" t="str">
        <x:v>review</x:v>
      </x:c>
      <x:c r="U44" s="10" t="str">
        <x:v>REVIEW-01</x:v>
      </x:c>
      <x:c r="V44" s="10" t="str">
        <x:v>{"adapter_rule_id":"se-ambiguous-pp-review","deprels":["case","obl"],"target_strategy":"anchor-subtree","token_ids":[1,2],"upos":["ADP","PROPN"],"xpos":["IN","NNP"]}</x:v>
      </x:c>
      <x:c r="W44" s="4" t="str">
        <x:v>1.14.0</x:v>
      </x:c>
      <x:c r="X44" s="4" t="str">
        <x:v>51f32c3b4b77d2a460e8aeaeb653dbd240ad270b7f8b42110f509ff87c483711</x:v>
      </x:c>
      <x:c r="Y44" s="4" t="str">
        <x:v>needs-review</x:v>
      </x:c>
      <x:c r="Z44" s="10" t="str">
        <x:v>Incompatible formal rules matched the same sentence/dimension/target: Context needed, OC — Object Complement</x:v>
      </x:c>
      <x:c r="AA44" s="4" t="str">
        <x:v>conflict</x:v>
      </x:c>
      <x:c r="AB44" s="16" t="str"/>
      <x:c r="AC44" s="18" t="str"/>
      <x:c r="AD44" s="18" t="str"/>
      <x:c r="AE44" s="18" t="str"/>
      <x:c r="AF44" s="20" t="str"/>
      <x:c r="AG44" s="21"/>
      <x:c r="AH44" s="22" t="str">
        <x:v>Incompatible formal rules matched the same sentence/dimension/target: Context needed, OC — Object Complement</x:v>
      </x:c>
    </x:row>
    <x:row r="45">
      <x:c r="A45" s="4" t="str">
        <x:v>AUTO-SENTENCE-ELEMENT-12b42578dac69a4b</x:v>
      </x:c>
      <x:c r="B45" s="4" t="str">
        <x:v>REMAP-c60c1c38a6e5dfcd5cb4</x:v>
      </x:c>
      <x:c r="C45" s="4" t="str">
        <x:v>masc-fiction-fiction-nathans-bylichka-s0795</x:v>
      </x:c>
      <x:c r="D45" s="4" t="str">
        <x:v>fiction</x:v>
      </x:c>
      <x:c r="E45" s="4" t="str">
        <x:v>MASC</x:v>
      </x:c>
      <x:c r="F45" s="4" t="str">
        <x:v>intermediate</x:v>
      </x:c>
      <x:c r="G45" s="10" t="str">
        <x:v>He ran down a hallway and slipped behind one of the doors, but Nepthys was close behind him and left it open for me.</x:v>
      </x:c>
      <x:c r="H45" s="10" t="str">
        <x:v>for me</x:v>
      </x:c>
      <x:c r="I45" s="4" t="str">
        <x:v>sentence-elements</x:v>
      </x:c>
      <x:c r="J45" s="4" t="str">
        <x:v>Sentence elements</x:v>
      </x:c>
      <x:c r="K45" s="4" t="str">
        <x:v>sentence_element</x:v>
      </x:c>
      <x:c r="L45" s="4" t="str">
        <x:v>OC — Object Complement</x:v>
      </x:c>
      <x:c r="M45" s="10" t="str">
        <x:v>OC — Object Complement
Formal S + Postponed S
A + A — two Adverbials
IO — Indirect Object</x:v>
      </x:c>
      <x:c r="N45" s="10" t="str">
        <x:v>The highlighted unit is predicated of the object and functions as its complement.</x:v>
      </x:c>
      <x:c r="O45" s="12" t="n">
        <x:v>0.58</x:v>
      </x:c>
      <x:c r="P45" s="4" t="str">
        <x:v>en-1.0.0</x:v>
      </x:c>
      <x:c r="Q45" s="4" t="str">
        <x:v>5cee51d8a950b2e9bdf7133a6d97dcd20d2258c6fbb61e9d97b64b8e7249178d</x:v>
      </x:c>
      <x:c r="R45" s="4" t="str">
        <x:v>se.object.complement.pp.review</x:v>
      </x:c>
      <x:c r="S45" s="4" t="str">
        <x:v>manual-review</x:v>
      </x:c>
      <x:c r="T45" s="4" t="str">
        <x:v>review</x:v>
      </x:c>
      <x:c r="U45" s="10" t="str">
        <x:v>SE-OC-03</x:v>
      </x:c>
      <x:c r="V45" s="10" t="str">
        <x:v>{"adapter_rule_id":"se-object-complement-pp-review","deprels":["case","obl"],"target_strategy":"anchor-subtree","token_ids":[24,25],"upos":["ADP","PRON"],"xpos":["IN","PRP"]}</x:v>
      </x:c>
      <x:c r="W45" s="4" t="str">
        <x:v>1.14.0</x:v>
      </x:c>
      <x:c r="X45" s="4" t="str">
        <x:v>51f32c3b4b77d2a460e8aeaeb653dbd240ad270b7f8b42110f509ff87c483711</x:v>
      </x:c>
      <x:c r="Y45" s="4" t="str">
        <x:v>needs-review</x:v>
      </x:c>
      <x:c r="Z45" s="10" t="str">
        <x:v>Incompatible formal rules matched the same sentence/dimension/target: Context needed, OC — Object Complement</x:v>
      </x:c>
      <x:c r="AA45" s="4" t="str">
        <x:v>conflict</x:v>
      </x:c>
      <x:c r="AB45" s="16" t="str"/>
      <x:c r="AC45" s="18" t="str"/>
      <x:c r="AD45" s="18" t="str"/>
      <x:c r="AE45" s="18" t="str"/>
      <x:c r="AF45" s="20" t="str"/>
      <x:c r="AG45" s="21"/>
      <x:c r="AH45" s="22" t="str">
        <x:v>Incompatible formal rules matched the same sentence/dimension/target: Context needed, OC — Object Complement</x:v>
      </x:c>
    </x:row>
    <x:row r="46">
      <x:c r="A46" s="4" t="str">
        <x:v>AUTO-CLAUSE-STRUCTURE-19af8a38c1e58614</x:v>
      </x:c>
      <x:c r="B46" s="4" t="str">
        <x:v>REMAP-d0b60a3253b155e8156b</x:v>
      </x:c>
      <x:c r="C46" s="4" t="str">
        <x:v>masc-court-court-day3pmsession-s0620</x:v>
      </x:c>
      <x:c r="D46" s="4" t="str">
        <x:v>court</x:v>
      </x:c>
      <x:c r="E46" s="4" t="str">
        <x:v>MASC</x:v>
      </x:c>
      <x:c r="F46" s="4" t="str">
        <x:v>basic</x:v>
      </x:c>
      <x:c r="G46" s="10" t="str">
        <x:v>Let's have the question read back, please.</x:v>
      </x:c>
      <x:c r="H46" s="10" t="str">
        <x:v>read back</x:v>
      </x:c>
      <x:c r="I46" s="4" t="str">
        <x:v>clauses</x:v>
      </x:c>
      <x:c r="J46" s="4" t="str">
        <x:v>Clause structure</x:v>
      </x:c>
      <x:c r="K46" s="4" t="str">
        <x:v>clause_structure</x:v>
      </x:c>
      <x:c r="L46" s="4" t="str">
        <x:v>Bare infinitival clause</x:v>
      </x:c>
      <x:c r="M46" s="10" t="str">
        <x:v>Bare infinitival clause
Finite whether/if-clause
Comparative clause
-ing clause</x:v>
      </x:c>
      <x:c r="N46" s="10" t="str">
        <x:v>The highlighted non-finite clause uses the plain verb form without infinitival “to”.</x:v>
      </x:c>
      <x:c r="O46" s="12" t="n">
        <x:v>0.61</x:v>
      </x:c>
      <x:c r="P46" s="4" t="str">
        <x:v>en-1.0.0</x:v>
      </x:c>
      <x:c r="Q46" s="4" t="str">
        <x:v>5cee51d8a950b2e9bdf7133a6d97dcd20d2258c6fbb61e9d97b64b8e7249178d</x:v>
      </x:c>
      <x:c r="R46" s="4" t="str">
        <x:v>structure.bare.infinitive.review</x:v>
      </x:c>
      <x:c r="S46" s="4" t="str">
        <x:v>manual-review</x:v>
      </x:c>
      <x:c r="T46" s="4" t="str">
        <x:v>review</x:v>
      </x:c>
      <x:c r="U46" s="10" t="str">
        <x:v>CL-STR-06</x:v>
      </x:c>
      <x:c r="V46" s="10" t="str">
        <x:v>{"adapter_rule_id":"structure-bare-infinitive-review","deprels":["advmod","xcomp"],"target_strategy":"clause-subtree","token_ids":[6,7],"upos":["ADV","VERB"],"xpos":["RB","VB"]}</x:v>
      </x:c>
      <x:c r="W46" s="4" t="str">
        <x:v>1.14.0</x:v>
      </x:c>
      <x:c r="X46" s="4" t="str">
        <x:v>51f32c3b4b77d2a460e8aeaeb653dbd240ad270b7f8b42110f509ff87c483711</x:v>
      </x:c>
      <x:c r="Y46" s="4" t="str">
        <x:v>needs-review</x:v>
      </x:c>
      <x:c r="Z46" s="10" t="str">
        <x:v>A bare infinitive after a perception or causative verb requires confirmation against the teaching analysis.</x:v>
      </x:c>
      <x:c r="AA46" s="4" t="str">
        <x:v>manual guard</x:v>
      </x:c>
      <x:c r="AB46" s="16" t="str"/>
      <x:c r="AC46" s="18" t="str"/>
      <x:c r="AD46" s="18" t="str"/>
      <x:c r="AE46" s="18" t="str"/>
      <x:c r="AF46" s="20" t="str"/>
      <x:c r="AG46" s="21"/>
      <x:c r="AH46" s="22" t="str">
        <x:v>A bare infinitive after a perception or causative verb requires confirmation against the teaching analysis.</x:v>
      </x:c>
    </x:row>
    <x:row r="47">
      <x:c r="A47" s="4" t="str">
        <x:v>AUTO-CLAUSE-FUNCTION-bb3c95c65644d43e</x:v>
      </x:c>
      <x:c r="B47" s="4" t="str">
        <x:v>REMAP-d7f2153df9fd1385ea98</x:v>
      </x:c>
      <x:c r="C47" s="4" t="str">
        <x:v>masc-letters-letters-110cyl068-s0018</x:v>
      </x:c>
      <x:c r="D47" s="4" t="str">
        <x:v>letters</x:v>
      </x:c>
      <x:c r="E47" s="4" t="str">
        <x:v>MASC</x:v>
      </x:c>
      <x:c r="F47" s="4" t="str">
        <x:v>intermediate</x:v>
      </x:c>
      <x:c r="G47" s="10" t="str">
        <x:v>Cornell found a
      number of employment options that he never dreamed existed after a
      work-site injury forced him out of his job at a foundry.</x:v>
      </x:c>
      <x:c r="H47" s="10" t="str">
        <x:v>forced him out of his job at a foundry</x:v>
      </x:c>
      <x:c r="I47" s="4" t="str">
        <x:v>clauses</x:v>
      </x:c>
      <x:c r="J47" s="4" t="str">
        <x:v>Clause function</x:v>
      </x:c>
      <x:c r="K47" s="4" t="str">
        <x:v>clause_function</x:v>
      </x:c>
      <x:c r="L47" s="4" t="str">
        <x:v>A — Adverbial</x:v>
      </x:c>
      <x:c r="M47" s="10" t="str">
        <x:v>A — Adverbial
S — Subject
SC — Subject Complement
PostM — Postmodifier</x:v>
      </x:c>
      <x:c r="N47" s="10" t="str">
        <x:v>The highlighted clause functions as an adverbial.</x:v>
      </x:c>
      <x:c r="O47" s="12" t="n">
        <x:v>0.61</x:v>
      </x:c>
      <x:c r="P47" s="4" t="str">
        <x:v>en-1.0.0</x:v>
      </x:c>
      <x:c r="Q47" s="4" t="str">
        <x:v>5cee51d8a950b2e9bdf7133a6d97dcd20d2258c6fbb61e9d97b64b8e7249178d</x:v>
      </x:c>
      <x:c r="R47" s="4" t="str">
        <x:v>function.clause.adverbial.review</x:v>
      </x:c>
      <x:c r="S47" s="4" t="str">
        <x:v>manual-review</x:v>
      </x:c>
      <x:c r="T47" s="4" t="str">
        <x:v>review</x:v>
      </x:c>
      <x:c r="U47" s="10" t="str">
        <x:v>CL-FUNC-04</x:v>
      </x:c>
      <x:c r="V47" s="10" t="str">
        <x:v>{"adapter_rule_id":"function-clause-adverbial","deprels":["advcl","case","det","fixed","nmod:poss","obj","obl"],"target_strategy":"clause-subtree","token_ids":[19,20,21,22,23,24,25,26,27],"upos":["ADP","DET","NOUN","PRON","VERB"],"xpos":["DT","IN","NN","PRP","PRP$","VBD"]}</x:v>
      </x:c>
      <x:c r="W47" s="4" t="str">
        <x:v>1.14.0</x:v>
      </x:c>
      <x:c r="X47" s="4" t="str">
        <x:v>51f32c3b4b77d2a460e8aeaeb653dbd240ad270b7f8b42110f509ff87c483711</x:v>
      </x:c>
      <x:c r="Y47" s="4" t="str">
        <x:v>needs-review</x:v>
      </x:c>
      <x:c r="Z47" s="10" t="str">
        <x:v>An unmarked supplementive clause requires review before assigning A.</x:v>
      </x:c>
      <x:c r="AA47" s="4" t="str">
        <x:v>manual guard</x:v>
      </x:c>
      <x:c r="AB47" s="16" t="str"/>
      <x:c r="AC47" s="18" t="str"/>
      <x:c r="AD47" s="18" t="str"/>
      <x:c r="AE47" s="18" t="str"/>
      <x:c r="AF47" s="20" t="str"/>
      <x:c r="AG47" s="21"/>
      <x:c r="AH47" s="22" t="str">
        <x:v>An unmarked supplementive clause requires review before assigning A.</x:v>
      </x:c>
    </x:row>
    <x:row r="48">
      <x:c r="A48" s="4" t="str">
        <x:v>AUTO-SENTENCE-ELEMENT-765c822cfeb4905f</x:v>
      </x:c>
      <x:c r="B48" s="4" t="str">
        <x:v>REMAP-8aa3d986835d32e11298</x:v>
      </x:c>
      <x:c r="C48" s="4" t="str">
        <x:v>masc-government-government-postal-rate-comm-reporttocongress2002web-s0075</x:v>
      </x:c>
      <x:c r="D48" s="4" t="str">
        <x:v>government</x:v>
      </x:c>
      <x:c r="E48" s="4" t="str">
        <x:v>MASC</x:v>
      </x:c>
      <x:c r="F48" s="4" t="str">
        <x:v>advanced</x:v>
      </x:c>
      <x:c r="G48" s="10" t="str">
        <x:v>The
Postal Service's innovative Mailing Online service, for which a
three-year experimental trial was requested and approved in Docket
No. MC2000-2, was initially considered and recommended by the
Commission under the market test rules.</x:v>
      </x:c>
      <x:c r="H48" s="10" t="str">
        <x:v>in Docket
No. MC2000-2</x:v>
      </x:c>
      <x:c r="I48" s="4" t="str">
        <x:v>sentence-elements</x:v>
      </x:c>
      <x:c r="J48" s="4" t="str">
        <x:v>Sentence elements</x:v>
      </x:c>
      <x:c r="K48" s="4" t="str">
        <x:v>sentence_element</x:v>
      </x:c>
      <x:c r="L48" s="4" t="str">
        <x:v>A — Adverbial</x:v>
      </x:c>
      <x:c r="M48" s="10" t="str">
        <x:v>A — Adverbial
SC — Subject Complement
Formal S + Postponed S
OC — Object Complement</x:v>
      </x:c>
      <x:c r="N48" s="10" t="str">
        <x:v>The highlighted unit adds circumstantial information to the clause.</x:v>
      </x:c>
      <x:c r="O48" s="12" t="n">
        <x:v>0.55</x:v>
      </x:c>
      <x:c r="P48" s="4" t="str">
        <x:v>en-1.0.0</x:v>
      </x:c>
      <x:c r="Q48" s="4" t="str">
        <x:v>5cee51d8a950b2e9bdf7133a6d97dcd20d2258c6fbb61e9d97b64b8e7249178d</x:v>
      </x:c>
      <x:c r="R48" s="4" t="str">
        <x:v>se.ambiguous.pp.review.review.a-adverbial-a-technical-oblique-relation-d</x:v>
      </x:c>
      <x:c r="S48" s="4" t="str">
        <x:v>manual-review</x:v>
      </x:c>
      <x:c r="T48" s="4" t="str">
        <x:v>review</x:v>
      </x:c>
      <x:c r="U48" s="10" t="str">
        <x:v>REVIEW-01</x:v>
      </x:c>
      <x:c r="V48" s="10" t="str">
        <x:v>{"adapter_rule_id":"se-ambiguous-pp-review","deprels":["case","flat","nmod","obl"],"target_strategy":"anchor-subtree","token_ids":[22,23,24,25,26,27,28],"upos":["ADP","NOUN","NUM","PROPN","SYM"],"xpos":["CD","IN","NN","NNP","SYM"]}</x:v>
      </x:c>
      <x:c r="W48" s="4" t="str">
        <x:v>1.14.0</x:v>
      </x:c>
      <x:c r="X48" s="4" t="str">
        <x:v>51f32c3b4b77d2a460e8aeaeb653dbd240ad270b7f8b42110f509ff87c483711</x:v>
      </x:c>
      <x:c r="Y48" s="4" t="str">
        <x:v>needs-review</x:v>
      </x:c>
      <x:c r="Z48" s="10" t="str">
        <x:v>A technical oblique relation does not decide whether the phrase is an adverbial or selected complement.</x:v>
      </x:c>
      <x:c r="AA48" s="4" t="str">
        <x:v>manual guard</x:v>
      </x:c>
      <x:c r="AB48" s="16" t="str"/>
      <x:c r="AC48" s="18" t="str"/>
      <x:c r="AD48" s="18" t="str"/>
      <x:c r="AE48" s="18" t="str"/>
      <x:c r="AF48" s="20" t="str"/>
      <x:c r="AG48" s="21"/>
      <x:c r="AH48" s="22" t="str">
        <x:v>A technical oblique relation does not decide whether the phrase is an adverbial or selected complement.</x:v>
      </x:c>
    </x:row>
    <x:row r="49">
      <x:c r="A49" s="4" t="str">
        <x:v>AUTO-SENTENCE-ELEMENT-5ea7dc22165281a8</x:v>
      </x:c>
      <x:c r="B49" s="4" t="str">
        <x:v>REMAP-2e4487ab29ba4d703251</x:v>
      </x:c>
      <x:c r="C49" s="4" t="str">
        <x:v>oanc-technical-plos-pmed-0010010-s0013</x:v>
      </x:c>
      <x:c r="D49" s="4" t="str">
        <x:v>technical</x:v>
      </x:c>
      <x:c r="E49" s="4" t="str">
        <x:v>OANC</x:v>
      </x:c>
      <x:c r="F49" s="4" t="str">
        <x:v>intermediate</x:v>
      </x:c>
      <x:c r="G49" s="10" t="str">
        <x:v>Over the past few years, it has become increasingly apparent that a critical component of
        assuring access to care and treatment is human capital.</x:v>
      </x:c>
      <x:c r="H49" s="10" t="str">
        <x:v>Over the past few years</x:v>
      </x:c>
      <x:c r="I49" s="4" t="str">
        <x:v>sentence-elements</x:v>
      </x:c>
      <x:c r="J49" s="4" t="str">
        <x:v>Sentence elements</x:v>
      </x:c>
      <x:c r="K49" s="4" t="str">
        <x:v>sentence_element</x:v>
      </x:c>
      <x:c r="L49" s="4" t="str">
        <x:v>A — Adverbial</x:v>
      </x:c>
      <x:c r="M49" s="10" t="str">
        <x:v>A — Adverbial
Operator
Formal S + Postponed S
Context needed</x:v>
      </x:c>
      <x:c r="N49" s="10" t="str">
        <x:v>The highlighted unit adds circumstantial information to the clause.</x:v>
      </x:c>
      <x:c r="O49" s="12" t="n">
        <x:v>0.61</x:v>
      </x:c>
      <x:c r="P49" s="4" t="str">
        <x:v>en-1.0.0</x:v>
      </x:c>
      <x:c r="Q49" s="4" t="str">
        <x:v>5cee51d8a950b2e9bdf7133a6d97dcd20d2258c6fbb61e9d97b64b8e7249178d</x:v>
      </x:c>
      <x:c r="R49" s="4" t="str">
        <x:v>se.adverbial.duration.review</x:v>
      </x:c>
      <x:c r="S49" s="4" t="str">
        <x:v>manual-review</x:v>
      </x:c>
      <x:c r="T49" s="4" t="str">
        <x:v>review</x:v>
      </x:c>
      <x:c r="U49" s="10" t="str">
        <x:v>SE-A-03</x:v>
      </x:c>
      <x:c r="V49" s="10" t="str">
        <x:v>{"adapter_rule_id":"se-adverbial-duration-review","deprels":["amod","case","det","obl"],"target_strategy":"anchor-subtree","token_ids":[1,2,3,4,5],"upos":["ADJ","ADP","DET","NOUN"],"xpos":["DT","IN","JJ","NNS"]}</x:v>
      </x:c>
      <x:c r="W49" s="4" t="str">
        <x:v>1.14.0</x:v>
      </x:c>
      <x:c r="X49" s="4" t="str">
        <x:v>51f32c3b4b77d2a460e8aeaeb653dbd240ad270b7f8b42110f509ff87c483711</x:v>
      </x:c>
      <x:c r="Y49" s="4" t="str">
        <x:v>needs-review</x:v>
      </x:c>
      <x:c r="Z49" s="10" t="str">
        <x:v>Duration noun phrases receive variable technical analyses and require confirmation as pedagogical A.</x:v>
      </x:c>
      <x:c r="AA49" s="4" t="str">
        <x:v>manual guard</x:v>
      </x:c>
      <x:c r="AB49" s="16" t="str"/>
      <x:c r="AC49" s="18" t="str"/>
      <x:c r="AD49" s="18" t="str"/>
      <x:c r="AE49" s="18" t="str"/>
      <x:c r="AF49" s="20" t="str"/>
      <x:c r="AG49" s="21"/>
      <x:c r="AH49" s="22" t="str">
        <x:v>Duration noun phrases receive variable technical analyses and require confirmation as pedagogical A.</x:v>
      </x:c>
    </x:row>
    <x:row r="50">
      <x:c r="A50" s="4" t="str">
        <x:v>AUTO-CLAUSE-TYPE-8dfde1e00ab0a3c0</x:v>
      </x:c>
      <x:c r="B50" s="4" t="str">
        <x:v>REMAP-b36559ed5ca42212bbac</x:v>
      </x:c>
      <x:c r="C50" s="4" t="str">
        <x:v>masc-ficlets-ficlets-1400-s0427</x:v>
      </x:c>
      <x:c r="D50" s="4" t="str">
        <x:v>ficlets</x:v>
      </x:c>
      <x:c r="E50" s="4" t="str">
        <x:v>MASC</x:v>
      </x:c>
      <x:c r="F50" s="4" t="str">
        <x:v>intermediate</x:v>
      </x:c>
      <x:c r="G50" s="10" t="str">
        <x:v>Before they realized it, they were holding each other, laughing until tears escaped their eyes.</x:v>
      </x:c>
      <x:c r="H50" s="10" t="str">
        <x:v>laughing until tears escaped their eyes</x:v>
      </x:c>
      <x:c r="I50" s="4" t="str">
        <x:v>clauses</x:v>
      </x:c>
      <x:c r="J50" s="4" t="str">
        <x:v>Clause type</x:v>
      </x:c>
      <x:c r="K50" s="4" t="str">
        <x:v>clause_type</x:v>
      </x:c>
      <x:c r="L50" s="4" t="str">
        <x:v>Supplementive non-finite clause — function: A</x:v>
      </x:c>
      <x:c r="M50" s="10" t="str">
        <x:v>Supplementive non-finite clause — function: A
Main clause
Negative-conditional adverbial clause
Nominal clause — function: SC</x:v>
      </x:c>
      <x:c r="N50" s="10" t="str">
        <x:v>The highlighted non-finite supplementive clause functions as an adverbial.</x:v>
      </x:c>
      <x:c r="O50" s="12" t="n">
        <x:v>0.61</x:v>
      </x:c>
      <x:c r="P50" s="4" t="str">
        <x:v>en-1.0.0</x:v>
      </x:c>
      <x:c r="Q50" s="4" t="str">
        <x:v>5cee51d8a950b2e9bdf7133a6d97dcd20d2258c6fbb61e9d97b64b8e7249178d</x:v>
      </x:c>
      <x:c r="R50" s="4" t="str">
        <x:v>clause.supplementive.review</x:v>
      </x:c>
      <x:c r="S50" s="4" t="str">
        <x:v>manual-review</x:v>
      </x:c>
      <x:c r="T50" s="4" t="str">
        <x:v>review</x:v>
      </x:c>
      <x:c r="U50" s="10" t="str">
        <x:v>CL-ADV-11</x:v>
      </x:c>
      <x:c r="V50" s="10" t="str">
        <x:v>{"adapter_rule_id":"clause-supplementive-review","deprels":["advcl","mark","nmod:poss","nsubj","obj"],"target_strategy":"clause-subtree","token_ids":[12,13,14,15,16,17],"upos":["NOUN","PRON","SCONJ","VERB"],"xpos":["IN","NNS","PRP$","VBD","VBG"]}</x:v>
      </x:c>
      <x:c r="W50" s="4" t="str">
        <x:v>1.14.0</x:v>
      </x:c>
      <x:c r="X50" s="4" t="str">
        <x:v>51f32c3b4b77d2a460e8aeaeb653dbd240ad270b7f8b42110f509ff87c483711</x:v>
      </x:c>
      <x:c r="Y50" s="4" t="str">
        <x:v>needs-review</x:v>
      </x:c>
      <x:c r="Z50" s="10" t="str">
        <x:v>The supplementive function is structurally plausible, but its semantic subtype requires review.</x:v>
      </x:c>
      <x:c r="AA50" s="4" t="str">
        <x:v>manual guard</x:v>
      </x:c>
      <x:c r="AB50" s="16" t="str"/>
      <x:c r="AC50" s="18" t="str"/>
      <x:c r="AD50" s="18" t="str"/>
      <x:c r="AE50" s="18" t="str"/>
      <x:c r="AF50" s="20" t="str"/>
      <x:c r="AG50" s="21"/>
      <x:c r="AH50" s="22" t="str">
        <x:v>The supplementive function is structurally plausible, but its semantic subtype requires review.</x:v>
      </x:c>
    </x:row>
    <x:row r="51">
      <x:c r="A51" s="4" t="str">
        <x:v>AUTO-SENTENCE-ELEMENT-db9bddeccb67dcf0</x:v>
      </x:c>
      <x:c r="B51" s="4" t="str">
        <x:v>REMAP-0e916b619a2c4845367d</x:v>
      </x:c>
      <x:c r="C51" s="4" t="str">
        <x:v>masc-letters-letters-defenders5-s0041</x:v>
      </x:c>
      <x:c r="D51" s="4" t="str">
        <x:v>letters</x:v>
      </x:c>
      <x:c r="E51" s="4" t="str">
        <x:v>MASC</x:v>
      </x:c>
      <x:c r="F51" s="4" t="str">
        <x:v>advanced</x:v>
      </x:c>
      <x:c r="G51" s="10" t="str">
        <x:v>Please sign your Citizens’ Advisory Ballot to demonstrate to our Alaska allies that you’re behind them; and send an urgent donation today to help them win this effort.</x:v>
      </x:c>
      <x:c r="H51" s="10" t="str">
        <x:v>that you’re behind them</x:v>
      </x:c>
      <x:c r="I51" s="4" t="str">
        <x:v>sentence-elements</x:v>
      </x:c>
      <x:c r="J51" s="4" t="str">
        <x:v>Sentence elements</x:v>
      </x:c>
      <x:c r="K51" s="4" t="str">
        <x:v>sentence_element</x:v>
      </x:c>
      <x:c r="L51" s="4" t="str">
        <x:v>DO — Direct Object</x:v>
      </x:c>
      <x:c r="M51" s="10" t="str">
        <x:v>DO — Direct Object
IO — Indirect Object
Formal S + Postponed S
OC — Object Complement</x:v>
      </x:c>
      <x:c r="N51" s="10" t="str">
        <x:v>The highlighted unit is the direct object: it is directly affected by the verb.</x:v>
      </x:c>
      <x:c r="O51" s="12" t="n">
        <x:v>0.59</x:v>
      </x:c>
      <x:c r="P51" s="4" t="str">
        <x:v>en-1.0.0</x:v>
      </x:c>
      <x:c r="Q51" s="4" t="str">
        <x:v>5cee51d8a950b2e9bdf7133a6d97dcd20d2258c6fbb61e9d97b64b8e7249178d</x:v>
      </x:c>
      <x:c r="R51" s="4" t="str">
        <x:v>se.clausal.direct.object.review</x:v>
      </x:c>
      <x:c r="S51" s="4" t="str">
        <x:v>manual-review</x:v>
      </x:c>
      <x:c r="T51" s="4" t="str">
        <x:v>review</x:v>
      </x:c>
      <x:c r="U51" s="10" t="str">
        <x:v>SE-DO-04
SE-DO-05
SE-DO-06</x:v>
      </x:c>
      <x:c r="V51" s="10" t="str">
        <x:v>{"adapter_rule_id":"se-clausal-direct-object","deprels":["case","ccomp","cop","mark","nsubj"],"target_strategy":"anchor-subtree","token_ids":[14,15,16,17,18],"upos":["ADP","AUX","PRON","SCONJ"],"xpos":["IN","PRP","VBP"]}</x:v>
      </x:c>
      <x:c r="W51" s="4" t="str">
        <x:v>1.14.0</x:v>
      </x:c>
      <x:c r="X51" s="4" t="str">
        <x:v>51f32c3b4b77d2a460e8aeaeb653dbd240ad270b7f8b42110f509ff87c483711</x:v>
      </x:c>
      <x:c r="Y51" s="4" t="str">
        <x:v>needs-review</x:v>
      </x:c>
      <x:c r="Z51" s="10" t="str">
        <x:v>The matrix verb does not license an automatic clausal-DO analysis.</x:v>
      </x:c>
      <x:c r="AA51" s="4" t="str">
        <x:v>manual guard</x:v>
      </x:c>
      <x:c r="AB51" s="16" t="str"/>
      <x:c r="AC51" s="18" t="str"/>
      <x:c r="AD51" s="18" t="str"/>
      <x:c r="AE51" s="18" t="str"/>
      <x:c r="AF51" s="20" t="str"/>
      <x:c r="AG51" s="21"/>
      <x:c r="AH51" s="22" t="str">
        <x:v>The matrix verb does not license an automatic clausal-DO analysis.</x:v>
      </x:c>
    </x:row>
    <x:row r="52">
      <x:c r="A52" s="4" t="str">
        <x:v>AUTO-CLAUSE-TYPE-96fb0e42cba45598</x:v>
      </x:c>
      <x:c r="B52" s="4" t="str">
        <x:v>REMAP-638108852a73d07b973b</x:v>
      </x:c>
      <x:c r="C52" s="4" t="str">
        <x:v>masc-movie-script-movie-script-jurassicparkiv-int-s0093</x:v>
      </x:c>
      <x:c r="D52" s="4" t="str">
        <x:v>movie-script</x:v>
      </x:c>
      <x:c r="E52" s="4" t="str">
        <x:v>MASC</x:v>
      </x:c>
      <x:c r="F52" s="4" t="str">
        <x:v>advanced</x:v>
      </x:c>
      <x:c r="G52" s="10" t="str">
        <x:v>I'm sure she would have come with me if she knew how
serious your condition is.</x:v>
      </x:c>
      <x:c r="H52" s="10" t="str">
        <x:v>she would have come with me if she knew how
serious your condition is</x:v>
      </x:c>
      <x:c r="I52" s="4" t="str">
        <x:v>clauses</x:v>
      </x:c>
      <x:c r="J52" s="4" t="str">
        <x:v>Clause type</x:v>
      </x:c>
      <x:c r="K52" s="4" t="str">
        <x:v>clause_type</x:v>
      </x:c>
      <x:c r="L52" s="4" t="str">
        <x:v>Nominal clause — postmodifier of an adjective</x:v>
      </x:c>
      <x:c r="M52" s="10" t="str">
        <x:v>Nominal clause — postmodifier of an adjective
Adverbial clause — function: A
Nominal relative clause — function: S
Negative-conditional adverbial clause</x:v>
      </x:c>
      <x:c r="N52" s="10" t="str">
        <x:v>The highlighted clause completes and postmodifies the adjective.</x:v>
      </x:c>
      <x:c r="O52" s="12" t="n">
        <x:v>0.92</x:v>
      </x:c>
      <x:c r="P52" s="4" t="str">
        <x:v>en-1.0.0</x:v>
      </x:c>
      <x:c r="Q52" s="4" t="str">
        <x:v>5cee51d8a950b2e9bdf7133a6d97dcd20d2258c6fbb61e9d97b64b8e7249178d</x:v>
      </x:c>
      <x:c r="R52" s="4" t="str">
        <x:v>clause.nominal.adjective.postmodifier</x:v>
      </x:c>
      <x:c r="S52" s="4" t="str">
        <x:v>manual-review</x:v>
      </x:c>
      <x:c r="T52" s="4" t="str">
        <x:v>review</x:v>
      </x:c>
      <x:c r="U52" s="10" t="str">
        <x:v>CL-NOM-09
CL-NOM-10</x:v>
      </x:c>
      <x:c r="V52" s="10" t="str">
        <x:v>{"adapter_rule_id":"clause-nominal-adjective-postmodifier","deprels":["advcl","advmod","aux","case","ccomp","cop","mark","nmod:poss","nsubj","obl"],"target_strategy":"clause-subtree","token_ids":[4,5,6,7,8,9,10,11,12,13,14,15,16,17],"upos":["ADJ","ADP","ADV","AUX","NOUN","PRON","SCONJ","VERB"],"xpos":["IN","JJ","MD","NN","PRP","PRP$","VB","VBD","VBN","VBZ","WRB"]}</x:v>
      </x:c>
      <x:c r="W52" s="4" t="str">
        <x:v>1.14.0</x:v>
      </x:c>
      <x:c r="X52" s="4" t="str">
        <x:v>51f32c3b4b77d2a460e8aeaeb653dbd240ad270b7f8b42110f509ff87c483711</x:v>
      </x:c>
      <x:c r="Y52" s="4" t="str">
        <x:v>needs-review</x:v>
      </x:c>
      <x:c r="Z52" s="10" t="str">
        <x:v>The reviewed contract requires human review.</x:v>
      </x:c>
      <x:c r="AA52" s="4" t="str">
        <x:v>manual guard</x:v>
      </x:c>
      <x:c r="AB52" s="16" t="str"/>
      <x:c r="AC52" s="18" t="str"/>
      <x:c r="AD52" s="18" t="str"/>
      <x:c r="AE52" s="18" t="str"/>
      <x:c r="AF52" s="20" t="str"/>
      <x:c r="AG52" s="21"/>
      <x:c r="AH52" s="22" t="str">
        <x:v>The reviewed contract requires human review.</x:v>
      </x:c>
    </x:row>
    <x:row r="53">
      <x:c r="A53" s="4" t="str">
        <x:v>AUTO-CLAUSE-TYPE-4d22ca5e1e0714c0</x:v>
      </x:c>
      <x:c r="B53" s="4" t="str">
        <x:v>REMAP-1fbeb2028a7cdfe99e92</x:v>
      </x:c>
      <x:c r="C53" s="4" t="str">
        <x:v>masc-fiction-fiction-hotel-california-s0511</x:v>
      </x:c>
      <x:c r="D53" s="4" t="str">
        <x:v>fiction</x:v>
      </x:c>
      <x:c r="E53" s="4" t="str">
        <x:v>MASC</x:v>
      </x:c>
      <x:c r="F53" s="4" t="str">
        <x:v>intermediate</x:v>
      </x:c>
      <x:c r="G53" s="10" t="str">
        <x:v>Maybe everything we did, all the stories we told, maybe it was all lies.</x:v>
      </x:c>
      <x:c r="H53" s="10" t="str">
        <x:v>we did</x:v>
      </x:c>
      <x:c r="I53" s="4" t="str">
        <x:v>clauses</x:v>
      </x:c>
      <x:c r="J53" s="4" t="str">
        <x:v>Clause type</x:v>
      </x:c>
      <x:c r="K53" s="4" t="str">
        <x:v>clause_type</x:v>
      </x:c>
      <x:c r="L53" s="4" t="str">
        <x:v>Restrictive relative clause — function: PostM</x:v>
      </x:c>
      <x:c r="M53" s="10" t="str">
        <x:v>Restrictive relative clause — function: PostM
Place / free-choice adverbial clause
Dependent verbal question — function: S
Adverbial clause — function: A</x:v>
      </x:c>
      <x:c r="N53" s="10" t="str">
        <x:v>The highlighted relative clause restricts its antecedent and functions as a postmodifier.</x:v>
      </x:c>
      <x:c r="O53" s="12" t="n">
        <x:v>0.6</x:v>
      </x:c>
      <x:c r="P53" s="4" t="str">
        <x:v>en-1.0.0</x:v>
      </x:c>
      <x:c r="Q53" s="4" t="str">
        <x:v>5cee51d8a950b2e9bdf7133a6d97dcd20d2258c6fbb61e9d97b64b8e7249178d</x:v>
      </x:c>
      <x:c r="R53" s="4" t="str">
        <x:v>clause.relative.zero.review.review.restrictive-relative-clause-function-postm</x:v>
      </x:c>
      <x:c r="S53" s="4" t="str">
        <x:v>manual-review</x:v>
      </x:c>
      <x:c r="T53" s="4" t="str">
        <x:v>review</x:v>
      </x:c>
      <x:c r="U53" s="10" t="str">
        <x:v>CL-REL-02
CL-REL-07</x:v>
      </x:c>
      <x:c r="V53" s="10" t="str">
        <x:v>{"adapter_rule_id":"clause-relative-zero-review","deprels":["acl:relcl","nsubj"],"target_strategy":"clause-subtree","token_ids":[3,4],"upos":["PRON","VERB"],"xpos":["PRP","VBD"]}</x:v>
      </x:c>
      <x:c r="W53" s="4" t="str">
        <x:v>1.14.0</x:v>
      </x:c>
      <x:c r="X53" s="4" t="str">
        <x:v>51f32c3b4b77d2a460e8aeaeb653dbd240ad270b7f8b42110f509ff87c483711</x:v>
      </x:c>
      <x:c r="Y53" s="4" t="str">
        <x:v>needs-review</x:v>
      </x:c>
      <x:c r="Z53" s="10" t="str">
        <x:v>Zero-relative recovery and restrictiveness require review.</x:v>
      </x:c>
      <x:c r="AA53" s="4" t="str">
        <x:v>manual guard</x:v>
      </x:c>
      <x:c r="AB53" s="16" t="str"/>
      <x:c r="AC53" s="18" t="str"/>
      <x:c r="AD53" s="18" t="str"/>
      <x:c r="AE53" s="18" t="str"/>
      <x:c r="AF53" s="20" t="str"/>
      <x:c r="AG53" s="21"/>
      <x:c r="AH53" s="22" t="str">
        <x:v>Zero-relative recovery and restrictiveness require review.</x:v>
      </x:c>
    </x:row>
    <x:row r="54">
      <x:c r="A54" s="4" t="str">
        <x:v>AUTO-CLAUSE-FUNCTION-05813a844088dbd1</x:v>
      </x:c>
      <x:c r="B54" s="4" t="str">
        <x:v>REMAP-91f16fc67804ee1d3f50</x:v>
      </x:c>
      <x:c r="C54" s="4" t="str">
        <x:v>masc-fiction-fiction-the-black-willow-s0212</x:v>
      </x:c>
      <x:c r="D54" s="4" t="str">
        <x:v>fiction</x:v>
      </x:c>
      <x:c r="E54" s="4" t="str">
        <x:v>MASC</x:v>
      </x:c>
      <x:c r="F54" s="4" t="str">
        <x:v>intermediate</x:v>
      </x:c>
      <x:c r="G54" s="10" t="str">
        <x:v>And without that torturous willow, he might be free to write whatever he saw fit.</x:v>
      </x:c>
      <x:c r="H54" s="10" t="str">
        <x:v>whatever he saw fit</x:v>
      </x:c>
      <x:c r="I54" s="4" t="str">
        <x:v>clauses</x:v>
      </x:c>
      <x:c r="J54" s="4" t="str">
        <x:v>Clause function</x:v>
      </x:c>
      <x:c r="K54" s="4" t="str">
        <x:v>clause_function</x:v>
      </x:c>
      <x:c r="L54" s="4" t="str">
        <x:v>DO — Direct Object</x:v>
      </x:c>
      <x:c r="M54" s="10" t="str">
        <x:v>DO — Direct Object
A — Adverbial
S — Subject
PostM — Postmodifier</x:v>
      </x:c>
      <x:c r="N54" s="10" t="str">
        <x:v>The highlighted clause functions as the direct object of the higher verb.</x:v>
      </x:c>
      <x:c r="O54" s="12" t="n">
        <x:v>0.58</x:v>
      </x:c>
      <x:c r="P54" s="4" t="str">
        <x:v>en-1.0.0</x:v>
      </x:c>
      <x:c r="Q54" s="4" t="str">
        <x:v>5cee51d8a950b2e9bdf7133a6d97dcd20d2258c6fbb61e9d97b64b8e7249178d</x:v>
      </x:c>
      <x:c r="R54" s="4" t="str">
        <x:v>function.clause.direct.object.review.do-direct-object-a-non-subject-fused-relat</x:v>
      </x:c>
      <x:c r="S54" s="4" t="str">
        <x:v>manual-review</x:v>
      </x:c>
      <x:c r="T54" s="4" t="str">
        <x:v>review</x:v>
      </x:c>
      <x:c r="U54" s="10" t="str">
        <x:v>CL-FUNC-02</x:v>
      </x:c>
      <x:c r="V54" s="10" t="str">
        <x:v>{"adapter_rule_id":"function-clause-direct-object","deprels":["acl:relcl","nsubj","obj"],"target_strategy":"clause-subtree","token_ids":[13,14,15,16],"upos":["NOUN","PRON","VERB"],"xpos":["NN","PRP","VBD","WP"]}</x:v>
      </x:c>
      <x:c r="W54" s="4" t="str">
        <x:v>1.14.0</x:v>
      </x:c>
      <x:c r="X54" s="4" t="str">
        <x:v>51f32c3b4b77d2a460e8aeaeb653dbd240ad270b7f8b42110f509ff87c483711</x:v>
      </x:c>
      <x:c r="Y54" s="4" t="str">
        <x:v>needs-review</x:v>
      </x:c>
      <x:c r="Z54" s="10" t="str">
        <x:v>A non-subject fused relative requires contextual confirmation of its higher-clause function.</x:v>
      </x:c>
      <x:c r="AA54" s="4" t="str">
        <x:v>manual guard</x:v>
      </x:c>
      <x:c r="AB54" s="16" t="str"/>
      <x:c r="AC54" s="18" t="str"/>
      <x:c r="AD54" s="18" t="str"/>
      <x:c r="AE54" s="18" t="str"/>
      <x:c r="AF54" s="20" t="str"/>
      <x:c r="AG54" s="21"/>
      <x:c r="AH54" s="22" t="str">
        <x:v>A non-subject fused relative requires contextual confirmation of its higher-clause function.</x:v>
      </x:c>
    </x:row>
    <x:row r="55">
      <x:c r="A55" s="4" t="str">
        <x:v>AUTO-CLAUSE-TYPE-6d63b7dab994edb9</x:v>
      </x:c>
      <x:c r="B55" s="4" t="str">
        <x:v>REMAP-c7943d4a5b9a096bdf89</x:v>
      </x:c>
      <x:c r="C55" s="4" t="str">
        <x:v>oanc-technical-plos-pmed-0010010-s0013</x:v>
      </x:c>
      <x:c r="D55" s="4" t="str">
        <x:v>technical</x:v>
      </x:c>
      <x:c r="E55" s="4" t="str">
        <x:v>OANC</x:v>
      </x:c>
      <x:c r="F55" s="4" t="str">
        <x:v>intermediate</x:v>
      </x:c>
      <x:c r="G55" s="10" t="str">
        <x:v>Over the past few years, it has become increasingly apparent that a critical component of
        assuring access to care and treatment is human capital.</x:v>
      </x:c>
      <x:c r="H55" s="10" t="str">
        <x:v>that a critical component of
        assuring access to care and treatment is human capital</x:v>
      </x:c>
      <x:c r="I55" s="4" t="str">
        <x:v>clauses</x:v>
      </x:c>
      <x:c r="J55" s="4" t="str">
        <x:v>Clause type</x:v>
      </x:c>
      <x:c r="K55" s="4" t="str">
        <x:v>clause_type</x:v>
      </x:c>
      <x:c r="L55" s="4" t="str">
        <x:v>Nominal clause — postmodifier of an adjective</x:v>
      </x:c>
      <x:c r="M55" s="10" t="str">
        <x:v>Nominal clause — postmodifier of an adjective
Manner / comparison adverbial clause
Temporal adverbial clause
Concessive adverbial clause</x:v>
      </x:c>
      <x:c r="N55" s="10" t="str">
        <x:v>The highlighted clause completes and postmodifies the adjective.</x:v>
      </x:c>
      <x:c r="O55" s="12" t="n">
        <x:v>0.92</x:v>
      </x:c>
      <x:c r="P55" s="4" t="str">
        <x:v>en-1.0.0</x:v>
      </x:c>
      <x:c r="Q55" s="4" t="str">
        <x:v>5cee51d8a950b2e9bdf7133a6d97dcd20d2258c6fbb61e9d97b64b8e7249178d</x:v>
      </x:c>
      <x:c r="R55" s="4" t="str">
        <x:v>clause.nominal.adjective.postmodifier</x:v>
      </x:c>
      <x:c r="S55" s="4" t="str">
        <x:v>manual-review</x:v>
      </x:c>
      <x:c r="T55" s="4" t="str">
        <x:v>review</x:v>
      </x:c>
      <x:c r="U55" s="10" t="str">
        <x:v>CL-NOM-09
CL-NOM-10</x:v>
      </x:c>
      <x:c r="V55" s="10" t="str">
        <x:v>{"adapter_rule_id":"clause-nominal-adjective-postmodifier","deprels":["acl","amod","case","cc","ccomp","conj","cop","det","mark","nmod","nsubj","obj"],"target_strategy":"clause-subtree","token_ids":[12,13,14,15,16,17,18,19,20,21,22,23,24,25],"upos":["ADJ","ADP","AUX","CCONJ","DET","NOUN","SCONJ","VERB"],"xpos":["CC","DT","IN","JJ","NN","VBG","VBZ"]}</x:v>
      </x:c>
      <x:c r="W55" s="4" t="str">
        <x:v>1.14.0</x:v>
      </x:c>
      <x:c r="X55" s="4" t="str">
        <x:v>51f32c3b4b77d2a460e8aeaeb653dbd240ad270b7f8b42110f509ff87c483711</x:v>
      </x:c>
      <x:c r="Y55" s="4" t="str">
        <x:v>needs-review</x:v>
      </x:c>
      <x:c r="Z55" s="10" t="str">
        <x:v>The reviewed contract requires human review.</x:v>
      </x:c>
      <x:c r="AA55" s="4" t="str">
        <x:v>manual guard</x:v>
      </x:c>
      <x:c r="AB55" s="16" t="str"/>
      <x:c r="AC55" s="18" t="str"/>
      <x:c r="AD55" s="18" t="str"/>
      <x:c r="AE55" s="18" t="str"/>
      <x:c r="AF55" s="20" t="str"/>
      <x:c r="AG55" s="21"/>
      <x:c r="AH55" s="22" t="str">
        <x:v>The reviewed contract requires human review.</x:v>
      </x:c>
    </x:row>
    <x:row r="56">
      <x:c r="A56" s="4" t="str">
        <x:v>AUTO-CLAUSE-MARKER-64eca74f11daebe6</x:v>
      </x:c>
      <x:c r="B56" s="4" t="str">
        <x:v>REMAP-84963e244a5af06ea809</x:v>
      </x:c>
      <x:c r="C56" s="4" t="str">
        <x:v>masc-movie-script-movie-script-jurassicparkiv-scene-5-s0017</x:v>
      </x:c>
      <x:c r="D56" s="4" t="str">
        <x:v>movie-script</x:v>
      </x:c>
      <x:c r="E56" s="4" t="str">
        <x:v>MASC</x:v>
      </x:c>
      <x:c r="F56" s="4" t="str">
        <x:v>basic</x:v>
      </x:c>
      <x:c r="G56" s="10" t="str">
        <x:v>If you'll
follow me.</x:v>
      </x:c>
      <x:c r="H56" s="10" t="str">
        <x:v>If</x:v>
      </x:c>
      <x:c r="I56" s="4" t="str">
        <x:v>clauses</x:v>
      </x:c>
      <x:c r="J56" s="4" t="str">
        <x:v>Clause marker</x:v>
      </x:c>
      <x:c r="K56" s="4" t="str">
        <x:v>clause_marker</x:v>
      </x:c>
      <x:c r="L56" s="4" t="str">
        <x:v>Interrogative subordinator</x:v>
      </x:c>
      <x:c r="M56" s="10" t="str">
        <x:v>Interrogative subordinator
Relative adverb
Zero marker
Complementizer</x:v>
      </x:c>
      <x:c r="N56" s="10" t="str">
        <x:v>The highlighted word introduces an embedded question.</x:v>
      </x:c>
      <x:c r="O56" s="12" t="n">
        <x:v>0.6</x:v>
      </x:c>
      <x:c r="P56" s="4" t="str">
        <x:v>en-1.0.0</x:v>
      </x:c>
      <x:c r="Q56" s="4" t="str">
        <x:v>5cee51d8a950b2e9bdf7133a6d97dcd20d2258c6fbb61e9d97b64b8e7249178d</x:v>
      </x:c>
      <x:c r="R56" s="4" t="str">
        <x:v>marker.interrogative.if.review</x:v>
      </x:c>
      <x:c r="S56" s="4" t="str">
        <x:v>manual-review</x:v>
      </x:c>
      <x:c r="T56" s="4" t="str">
        <x:v>review</x:v>
      </x:c>
      <x:c r="U56" s="10" t="str">
        <x:v>CL-MARK-03</x:v>
      </x:c>
      <x:c r="V56" s="10" t="str">
        <x:v>{"adapter_rule_id":"marker-interrogative-if-review","deprels":["mark"],"target_strategy":"anchor-token","token_ids":[1],"upos":["SCONJ"],"xpos":["IN"]}</x:v>
      </x:c>
      <x:c r="W56" s="4" t="str">
        <x:v>1.14.0</x:v>
      </x:c>
      <x:c r="X56" s="4" t="str">
        <x:v>51f32c3b4b77d2a460e8aeaeb653dbd240ad270b7f8b42110f509ff87c483711</x:v>
      </x:c>
      <x:c r="Y56" s="4" t="str">
        <x:v>needs-review</x:v>
      </x:c>
      <x:c r="Z56" s="10" t="str">
        <x:v>Embedded interrogative if must be distinguished from conditional if using the higher construction.</x:v>
      </x:c>
      <x:c r="AA56" s="4" t="str">
        <x:v>manual guard</x:v>
      </x:c>
      <x:c r="AB56" s="16" t="str"/>
      <x:c r="AC56" s="18" t="str"/>
      <x:c r="AD56" s="18" t="str"/>
      <x:c r="AE56" s="18" t="str"/>
      <x:c r="AF56" s="20" t="str"/>
      <x:c r="AG56" s="21"/>
      <x:c r="AH56" s="22" t="str">
        <x:v>Embedded interrogative if must be distinguished from conditional if using the higher construction.</x:v>
      </x:c>
    </x:row>
    <x:row r="57">
      <x:c r="A57" s="4" t="str">
        <x:v>AUTO-CLAUSE-FUNCTION-ae2a152ba275a0b7</x:v>
      </x:c>
      <x:c r="B57" s="4" t="str">
        <x:v>REMAP-ca837069faa4aaaa18fe</x:v>
      </x:c>
      <x:c r="C57" s="4" t="str">
        <x:v>masc-email-email-lists-046-12162937-s0017</x:v>
      </x:c>
      <x:c r="D57" s="4" t="str">
        <x:v>email</x:v>
      </x:c>
      <x:c r="E57" s="4" t="str">
        <x:v>MASC</x:v>
      </x:c>
      <x:c r="F57" s="4" t="str">
        <x:v>basic</x:v>
      </x:c>
      <x:c r="G57" s="10" t="str">
        <x:v>where `.' is an inferred infix operator, presumably denoting multiplication.</x:v>
      </x:c>
      <x:c r="H57" s="10" t="str">
        <x:v>presumably denoting multiplication</x:v>
      </x:c>
      <x:c r="I57" s="4" t="str">
        <x:v>clauses</x:v>
      </x:c>
      <x:c r="J57" s="4" t="str">
        <x:v>Clause function</x:v>
      </x:c>
      <x:c r="K57" s="4" t="str">
        <x:v>clause_function</x:v>
      </x:c>
      <x:c r="L57" s="4" t="str">
        <x:v>A — Adverbial</x:v>
      </x:c>
      <x:c r="M57" s="10" t="str">
        <x:v>A — Adverbial
OC / Clausal object
SC — Subject Complement
DO — Direct Object</x:v>
      </x:c>
      <x:c r="N57" s="10" t="str">
        <x:v>The highlighted clause functions as an adverbial.</x:v>
      </x:c>
      <x:c r="O57" s="12" t="n">
        <x:v>0.61</x:v>
      </x:c>
      <x:c r="P57" s="4" t="str">
        <x:v>en-1.0.0</x:v>
      </x:c>
      <x:c r="Q57" s="4" t="str">
        <x:v>5cee51d8a950b2e9bdf7133a6d97dcd20d2258c6fbb61e9d97b64b8e7249178d</x:v>
      </x:c>
      <x:c r="R57" s="4" t="str">
        <x:v>function.clause.adverbial.review</x:v>
      </x:c>
      <x:c r="S57" s="4" t="str">
        <x:v>manual-review</x:v>
      </x:c>
      <x:c r="T57" s="4" t="str">
        <x:v>review</x:v>
      </x:c>
      <x:c r="U57" s="10" t="str">
        <x:v>CL-FUNC-04</x:v>
      </x:c>
      <x:c r="V57" s="10" t="str">
        <x:v>{"adapter_rule_id":"function-clause-adverbial","deprels":["advcl","advmod","obj"],"target_strategy":"clause-subtree","token_ids":[9,10,11],"upos":["ADV","NOUN","VERB"],"xpos":["NN","RB","VBG"]}</x:v>
      </x:c>
      <x:c r="W57" s="4" t="str">
        <x:v>1.14.0</x:v>
      </x:c>
      <x:c r="X57" s="4" t="str">
        <x:v>51f32c3b4b77d2a460e8aeaeb653dbd240ad270b7f8b42110f509ff87c483711</x:v>
      </x:c>
      <x:c r="Y57" s="4" t="str">
        <x:v>needs-review</x:v>
      </x:c>
      <x:c r="Z57" s="10" t="str">
        <x:v>An unmarked supplementive clause requires review before assigning A.</x:v>
      </x:c>
      <x:c r="AA57" s="4" t="str">
        <x:v>manual guard</x:v>
      </x:c>
      <x:c r="AB57" s="16" t="str"/>
      <x:c r="AC57" s="18" t="str"/>
      <x:c r="AD57" s="18" t="str"/>
      <x:c r="AE57" s="18" t="str"/>
      <x:c r="AF57" s="20" t="str"/>
      <x:c r="AG57" s="21"/>
      <x:c r="AH57" s="22" t="str">
        <x:v>An unmarked supplementive clause requires review before assigning A.</x:v>
      </x:c>
    </x:row>
    <x:row r="58">
      <x:c r="A58" s="4" t="str">
        <x:v>AUTO-SENTENCE-ELEMENT-9bb2c2120d42cbda</x:v>
      </x:c>
      <x:c r="B58" s="4" t="str">
        <x:v>REMAP-71906159b3b0be499228</x:v>
      </x:c>
      <x:c r="C58" s="4" t="str">
        <x:v>masc-newspaper-newspaper-nytnewswire1-s0042</x:v>
      </x:c>
      <x:c r="D58" s="4" t="str">
        <x:v>newspaper</x:v>
      </x:c>
      <x:c r="E58" s="4" t="str">
        <x:v>MASC</x:v>
      </x:c>
      <x:c r="F58" s="4" t="str">
        <x:v>basic</x:v>
      </x:c>
      <x:c r="G58" s="10" t="str">
        <x:v>"I just hope they keep me here," Jose said.</x:v>
      </x:c>
      <x:c r="H58" s="10" t="str">
        <x:v>they keep me here</x:v>
      </x:c>
      <x:c r="I58" s="4" t="str">
        <x:v>sentence-elements</x:v>
      </x:c>
      <x:c r="J58" s="4" t="str">
        <x:v>Sentence elements</x:v>
      </x:c>
      <x:c r="K58" s="4" t="str">
        <x:v>sentence_element</x:v>
      </x:c>
      <x:c r="L58" s="4" t="str">
        <x:v>DO — Direct Object</x:v>
      </x:c>
      <x:c r="M58" s="10" t="str">
        <x:v>DO — Direct Object
IO — Indirect Object
A + A — two Adverbials
A — Adverbial</x:v>
      </x:c>
      <x:c r="N58" s="10" t="str">
        <x:v>The highlighted unit is the direct object: it is directly affected by the verb.</x:v>
      </x:c>
      <x:c r="O58" s="12" t="n">
        <x:v>0.59</x:v>
      </x:c>
      <x:c r="P58" s="4" t="str">
        <x:v>en-1.0.0</x:v>
      </x:c>
      <x:c r="Q58" s="4" t="str">
        <x:v>5cee51d8a950b2e9bdf7133a6d97dcd20d2258c6fbb61e9d97b64b8e7249178d</x:v>
      </x:c>
      <x:c r="R58" s="4" t="str">
        <x:v>se.clausal.direct.object.review</x:v>
      </x:c>
      <x:c r="S58" s="4" t="str">
        <x:v>manual-review</x:v>
      </x:c>
      <x:c r="T58" s="4" t="str">
        <x:v>review</x:v>
      </x:c>
      <x:c r="U58" s="10" t="str">
        <x:v>SE-DO-04
SE-DO-05
SE-DO-06</x:v>
      </x:c>
      <x:c r="V58" s="10" t="str">
        <x:v>{"adapter_rule_id":"se-clausal-direct-object","deprels":["advmod","ccomp","nsubj","obj"],"target_strategy":"anchor-subtree","token_ids":[5,6,7,8],"upos":["ADV","PRON","VERB"],"xpos":["PRP","RB","VBP"]}</x:v>
      </x:c>
      <x:c r="W58" s="4" t="str">
        <x:v>1.14.0</x:v>
      </x:c>
      <x:c r="X58" s="4" t="str">
        <x:v>51f32c3b4b77d2a460e8aeaeb653dbd240ad270b7f8b42110f509ff87c483711</x:v>
      </x:c>
      <x:c r="Y58" s="4" t="str">
        <x:v>needs-review</x:v>
      </x:c>
      <x:c r="Z58" s="10" t="str">
        <x:v>The matrix verb does not license an automatic clausal-DO analysis.</x:v>
      </x:c>
      <x:c r="AA58" s="4" t="str">
        <x:v>manual guard</x:v>
      </x:c>
      <x:c r="AB58" s="16" t="str"/>
      <x:c r="AC58" s="18" t="str"/>
      <x:c r="AD58" s="18" t="str"/>
      <x:c r="AE58" s="18" t="str"/>
      <x:c r="AF58" s="20" t="str"/>
      <x:c r="AG58" s="21"/>
      <x:c r="AH58" s="22" t="str">
        <x:v>The matrix verb does not license an automatic clausal-DO analysis.</x:v>
      </x:c>
    </x:row>
    <x:row r="59">
      <x:c r="A59" s="4" t="str">
        <x:v>AUTO-CLAUSE-FUNCTION-18970c278cf216a9</x:v>
      </x:c>
      <x:c r="B59" s="4" t="str">
        <x:v>REMAP-49693e1b4cd5e1b5c251</x:v>
      </x:c>
      <x:c r="C59" s="4" t="str">
        <x:v>masc-blog-blog-blog-jet-lag-s0030</x:v>
      </x:c>
      <x:c r="D59" s="4" t="str">
        <x:v>blog</x:v>
      </x:c>
      <x:c r="E59" s="4" t="str">
        <x:v>MASC</x:v>
      </x:c>
      <x:c r="F59" s="4" t="str">
        <x:v>advanced</x:v>
      </x:c>
      <x:c r="G59" s="10" t="str">
        <x:v>Artificial light sources can be used to supplement daylight, to help reset a person's internal clock to the correct
new time zone when traveling.</x:v>
      </x:c>
      <x:c r="H59" s="10" t="str">
        <x:v>when traveling</x:v>
      </x:c>
      <x:c r="I59" s="4" t="str">
        <x:v>clauses</x:v>
      </x:c>
      <x:c r="J59" s="4" t="str">
        <x:v>Clause function</x:v>
      </x:c>
      <x:c r="K59" s="4" t="str">
        <x:v>clause_function</x:v>
      </x:c>
      <x:c r="L59" s="4" t="str">
        <x:v>A — Adverbial</x:v>
      </x:c>
      <x:c r="M59" s="10" t="str">
        <x:v>A — Adverbial
SC — Subject Complement
S — Subject
DO — Direct Object</x:v>
      </x:c>
      <x:c r="N59" s="10" t="str">
        <x:v>The highlighted clause functions as an adverbial.</x:v>
      </x:c>
      <x:c r="O59" s="12" t="n">
        <x:v>0.61</x:v>
      </x:c>
      <x:c r="P59" s="4" t="str">
        <x:v>en-1.0.0</x:v>
      </x:c>
      <x:c r="Q59" s="4" t="str">
        <x:v>5cee51d8a950b2e9bdf7133a6d97dcd20d2258c6fbb61e9d97b64b8e7249178d</x:v>
      </x:c>
      <x:c r="R59" s="4" t="str">
        <x:v>function.clause.adverbial.review</x:v>
      </x:c>
      <x:c r="S59" s="4" t="str">
        <x:v>manual-review</x:v>
      </x:c>
      <x:c r="T59" s="4" t="str">
        <x:v>review</x:v>
      </x:c>
      <x:c r="U59" s="10" t="str">
        <x:v>CL-FUNC-04</x:v>
      </x:c>
      <x:c r="V59" s="10" t="str">
        <x:v>{"adapter_rule_id":"function-clause-adverbial","deprels":["advcl","advmod"],"target_strategy":"clause-subtree","token_ids":[25,26],"upos":["ADV","VERB"],"xpos":["VBG","WRB"]}</x:v>
      </x:c>
      <x:c r="W59" s="4" t="str">
        <x:v>1.14.0</x:v>
      </x:c>
      <x:c r="X59" s="4" t="str">
        <x:v>51f32c3b4b77d2a460e8aeaeb653dbd240ad270b7f8b42110f509ff87c483711</x:v>
      </x:c>
      <x:c r="Y59" s="4" t="str">
        <x:v>needs-review</x:v>
      </x:c>
      <x:c r="Z59" s="10" t="str">
        <x:v>An unmarked supplementive clause requires review before assigning A.</x:v>
      </x:c>
      <x:c r="AA59" s="4" t="str">
        <x:v>manual guard</x:v>
      </x:c>
      <x:c r="AB59" s="16" t="str"/>
      <x:c r="AC59" s="18" t="str"/>
      <x:c r="AD59" s="18" t="str"/>
      <x:c r="AE59" s="18" t="str"/>
      <x:c r="AF59" s="20" t="str"/>
      <x:c r="AG59" s="21"/>
      <x:c r="AH59" s="22" t="str">
        <x:v>An unmarked supplementive clause requires review before assigning A.</x:v>
      </x:c>
    </x:row>
    <x:row r="60">
      <x:c r="A60" s="4" t="str">
        <x:v>AUTO-SENTENCE-ELEMENT-4dd3800fac920e43</x:v>
      </x:c>
      <x:c r="B60" s="4" t="str">
        <x:v>REMAP-4df22ab4b4efff19037c</x:v>
      </x:c>
      <x:c r="C60" s="4" t="str">
        <x:v>masc-essay-essay-black-and-white-s0113</x:v>
      </x:c>
      <x:c r="D60" s="4" t="str">
        <x:v>essay</x:v>
      </x:c>
      <x:c r="E60" s="4" t="str">
        <x:v>MASC</x:v>
      </x:c>
      <x:c r="F60" s="4" t="str">
        <x:v>basic</x:v>
      </x:c>
      <x:c r="G60" s="10" t="str">
        <x:v>The world of print
               was therefore seen as something serious for the modern man.</x:v>
      </x:c>
      <x:c r="H60" s="10" t="str">
        <x:v>for the modern man</x:v>
      </x:c>
      <x:c r="I60" s="4" t="str">
        <x:v>sentence-elements</x:v>
      </x:c>
      <x:c r="J60" s="4" t="str">
        <x:v>Sentence elements</x:v>
      </x:c>
      <x:c r="K60" s="4" t="str">
        <x:v>sentence_element</x:v>
      </x:c>
      <x:c r="L60" s="4" t="str">
        <x:v>A — Adverbial</x:v>
      </x:c>
      <x:c r="M60" s="10" t="str">
        <x:v>A — Adverbial
A + A — two Adverbials
DO — Direct Object
SC — Subject Complement</x:v>
      </x:c>
      <x:c r="N60" s="10" t="str">
        <x:v>The highlighted unit adds circumstantial information to the clause.</x:v>
      </x:c>
      <x:c r="O60" s="12" t="n">
        <x:v>0.55</x:v>
      </x:c>
      <x:c r="P60" s="4" t="str">
        <x:v>en-1.0.0</x:v>
      </x:c>
      <x:c r="Q60" s="4" t="str">
        <x:v>5cee51d8a950b2e9bdf7133a6d97dcd20d2258c6fbb61e9d97b64b8e7249178d</x:v>
      </x:c>
      <x:c r="R60" s="4" t="str">
        <x:v>se.ambiguous.pp.review.review.a-adverbial-a-technical-oblique-relation-d</x:v>
      </x:c>
      <x:c r="S60" s="4" t="str">
        <x:v>manual-review</x:v>
      </x:c>
      <x:c r="T60" s="4" t="str">
        <x:v>review</x:v>
      </x:c>
      <x:c r="U60" s="10" t="str">
        <x:v>REVIEW-01</x:v>
      </x:c>
      <x:c r="V60" s="10" t="str">
        <x:v>{"adapter_rule_id":"se-ambiguous-pp-review","deprels":["amod","case","det","obl"],"target_strategy":"anchor-subtree","token_ids":[11,12,13,14],"upos":["ADJ","ADP","DET","NOUN"],"xpos":["DT","IN","JJ","NN"]}</x:v>
      </x:c>
      <x:c r="W60" s="4" t="str">
        <x:v>1.14.0</x:v>
      </x:c>
      <x:c r="X60" s="4" t="str">
        <x:v>51f32c3b4b77d2a460e8aeaeb653dbd240ad270b7f8b42110f509ff87c483711</x:v>
      </x:c>
      <x:c r="Y60" s="4" t="str">
        <x:v>needs-review</x:v>
      </x:c>
      <x:c r="Z60" s="10" t="str">
        <x:v>A technical oblique relation does not decide whether the phrase is an adverbial or selected complement.</x:v>
      </x:c>
      <x:c r="AA60" s="4" t="str">
        <x:v>manual guard</x:v>
      </x:c>
      <x:c r="AB60" s="16" t="str"/>
      <x:c r="AC60" s="18" t="str"/>
      <x:c r="AD60" s="18" t="str"/>
      <x:c r="AE60" s="18" t="str"/>
      <x:c r="AF60" s="20" t="str"/>
      <x:c r="AG60" s="21"/>
      <x:c r="AH60" s="22" t="str">
        <x:v>A technical oblique relation does not decide whether the phrase is an adverbial or selected complement.</x:v>
      </x:c>
    </x:row>
    <x:row r="61">
      <x:c r="A61" s="4" t="str">
        <x:v>AUTO-SENTENCE-ELEMENT-c6a0509192444bf8</x:v>
      </x:c>
      <x:c r="B61" s="4" t="str">
        <x:v>REMAP-ac04354afa05e706f587</x:v>
      </x:c>
      <x:c r="C61" s="4" t="str">
        <x:v>oanc-travel-berlitz2-algarve-wheretogo-s0067</x:v>
      </x:c>
      <x:c r="D61" s="4" t="str">
        <x:v>travel</x:v>
      </x:c>
      <x:c r="E61" s="4" t="str">
        <x:v>OANC</x:v>
      </x:c>
      <x:c r="F61" s="4" t="str">
        <x:v>intermediate</x:v>
      </x:c>
      <x:c r="G61" s="10" t="str">
        <x:v>Those were glory years, but some of what was glorious in those heady times today seems reprehensible.</x:v>
      </x:c>
      <x:c r="H61" s="10" t="str">
        <x:v>glory years, but … today seems reprehensible</x:v>
      </x:c>
      <x:c r="I61" s="4" t="str">
        <x:v>sentence-elements</x:v>
      </x:c>
      <x:c r="J61" s="4" t="str">
        <x:v>Sentence elements</x:v>
      </x:c>
      <x:c r="K61" s="4" t="str">
        <x:v>sentence_element</x:v>
      </x:c>
      <x:c r="L61" s="4" t="str">
        <x:v>SC — Subject Complement</x:v>
      </x:c>
      <x:c r="M61" s="10" t="str">
        <x:v>SC — Subject Complement
A — Adverbial
Operator
IO — Indirect Object</x:v>
      </x:c>
      <x:c r="N61" s="10" t="str">
        <x:v>The highlighted unit completes the description or identification of the subject.</x:v>
      </x:c>
      <x:c r="O61" s="12" t="n">
        <x:v>0.62</x:v>
      </x:c>
      <x:c r="P61" s="4" t="str">
        <x:v>en-1.0.0</x:v>
      </x:c>
      <x:c r="Q61" s="4" t="str">
        <x:v>5cee51d8a950b2e9bdf7133a6d97dcd20d2258c6fbb61e9d97b64b8e7249178d</x:v>
      </x:c>
      <x:c r="R61" s="4" t="str">
        <x:v>se.copular.temporal.review</x:v>
      </x:c>
      <x:c r="S61" s="4" t="str">
        <x:v>manual-review</x:v>
      </x:c>
      <x:c r="T61" s="4" t="str">
        <x:v>review</x:v>
      </x:c>
      <x:c r="U61" s="10" t="str">
        <x:v>REVIEW-02</x:v>
      </x:c>
      <x:c r="V61" s="10" t="str">
        <x:v>{"adapter_rule_id":"se-copular-temporal-review","deprels":["amod","cc","conj","obl:unmarked","punct","root","xcomp"],"target_strategy":"anchor-subtree","token_ids":[3,4,5,6,16,17,18],"upos":["ADJ","CCONJ","NOUN","PUNCT","VERB"],"xpos":[",","CC","JJ","NN","NNS","VBZ"]}</x:v>
      </x:c>
      <x:c r="W61" s="4" t="str">
        <x:v>1.14.0</x:v>
      </x:c>
      <x:c r="X61" s="4" t="str">
        <x:v>51f32c3b4b77d2a460e8aeaeb653dbd240ad270b7f8b42110f509ff87c483711</x:v>
      </x:c>
      <x:c r="Y61" s="4" t="str">
        <x:v>needs-review</x:v>
      </x:c>
      <x:c r="Z61" s="10" t="str">
        <x:v>A temporal expression after copular be can be analysed as SC or A; the reviewed framework requires confirmation.</x:v>
      </x:c>
      <x:c r="AA61" s="4" t="str">
        <x:v>manual guard</x:v>
      </x:c>
      <x:c r="AB61" s="16" t="str"/>
      <x:c r="AC61" s="18" t="str"/>
      <x:c r="AD61" s="18" t="str"/>
      <x:c r="AE61" s="18" t="str"/>
      <x:c r="AF61" s="20" t="str"/>
      <x:c r="AG61" s="21"/>
      <x:c r="AH61" s="22" t="str">
        <x:v>A temporal expression after copular be can be analysed as SC or A; the reviewed framework requires confirmation.</x:v>
      </x:c>
    </x:row>
    <x:row r="62">
      <x:c r="A62" s="4" t="str">
        <x:v>AUTO-CLAUSE-STRUCTURE-5b111b86a4d7a3c4</x:v>
      </x:c>
      <x:c r="B62" s="4" t="str">
        <x:v>REMAP-f18373d76cecbcf08c91</x:v>
      </x:c>
      <x:c r="C62" s="4" t="str">
        <x:v>masc-movie-script-movie-script-jurassicparkiv-scene-3-s0115</x:v>
      </x:c>
      <x:c r="D62" s="4" t="str">
        <x:v>movie-script</x:v>
      </x:c>
      <x:c r="E62" s="4" t="str">
        <x:v>MASC</x:v>
      </x:c>
      <x:c r="F62" s="4" t="str">
        <x:v>intermediate</x:v>
      </x:c>
      <x:c r="G62" s="10" t="str">
        <x:v>A grainy video recorded at early dawn shows a two-legged dinosaur
tearing open a car and disappearing into the jungle.</x:v>
      </x:c>
      <x:c r="H62" s="10" t="str">
        <x:v>open a car</x:v>
      </x:c>
      <x:c r="I62" s="4" t="str">
        <x:v>clauses</x:v>
      </x:c>
      <x:c r="J62" s="4" t="str">
        <x:v>Clause structure</x:v>
      </x:c>
      <x:c r="K62" s="4" t="str">
        <x:v>clause_structure</x:v>
      </x:c>
      <x:c r="L62" s="4" t="str">
        <x:v>Bare infinitival clause</x:v>
      </x:c>
      <x:c r="M62" s="10" t="str">
        <x:v>Bare infinitival clause
Finite whether/if-clause
Finite that-clause
-ing clause</x:v>
      </x:c>
      <x:c r="N62" s="10" t="str">
        <x:v>The highlighted non-finite clause uses the plain verb form without infinitival “to”.</x:v>
      </x:c>
      <x:c r="O62" s="12" t="n">
        <x:v>0.61</x:v>
      </x:c>
      <x:c r="P62" s="4" t="str">
        <x:v>en-1.0.0</x:v>
      </x:c>
      <x:c r="Q62" s="4" t="str">
        <x:v>5cee51d8a950b2e9bdf7133a6d97dcd20d2258c6fbb61e9d97b64b8e7249178d</x:v>
      </x:c>
      <x:c r="R62" s="4" t="str">
        <x:v>structure.bare.infinitive.review</x:v>
      </x:c>
      <x:c r="S62" s="4" t="str">
        <x:v>manual-review</x:v>
      </x:c>
      <x:c r="T62" s="4" t="str">
        <x:v>review</x:v>
      </x:c>
      <x:c r="U62" s="10" t="str">
        <x:v>CL-STR-06</x:v>
      </x:c>
      <x:c r="V62" s="10" t="str">
        <x:v>{"adapter_rule_id":"structure-bare-infinitive-review","deprels":["det","obj","xcomp"],"target_strategy":"clause-subtree","token_ids":[15,16,17],"upos":["DET","NOUN","VERB"],"xpos":["DT","NN","VB"]}</x:v>
      </x:c>
      <x:c r="W62" s="4" t="str">
        <x:v>1.14.0</x:v>
      </x:c>
      <x:c r="X62" s="4" t="str">
        <x:v>51f32c3b4b77d2a460e8aeaeb653dbd240ad270b7f8b42110f509ff87c483711</x:v>
      </x:c>
      <x:c r="Y62" s="4" t="str">
        <x:v>needs-review</x:v>
      </x:c>
      <x:c r="Z62" s="10" t="str">
        <x:v>A bare infinitive after a perception or causative verb requires confirmation against the teaching analysis.</x:v>
      </x:c>
      <x:c r="AA62" s="4" t="str">
        <x:v>manual guard</x:v>
      </x:c>
      <x:c r="AB62" s="16" t="str"/>
      <x:c r="AC62" s="18" t="str"/>
      <x:c r="AD62" s="18" t="str"/>
      <x:c r="AE62" s="18" t="str"/>
      <x:c r="AF62" s="20" t="str"/>
      <x:c r="AG62" s="21"/>
      <x:c r="AH62" s="22" t="str">
        <x:v>A bare infinitive after a perception or causative verb requires confirmation against the teaching analysis.</x:v>
      </x:c>
    </x:row>
    <x:row r="63">
      <x:c r="A63" s="4" t="str">
        <x:v>AUTO-CLAUSE-MARKER-01ab6f56bf62028e</x:v>
      </x:c>
      <x:c r="B63" s="4" t="str">
        <x:v>REMAP-bd96c62bb49fb4519817</x:v>
      </x:c>
      <x:c r="C63" s="4" t="str">
        <x:v>oanc-journal-slate-articleip-20521-s0034</x:v>
      </x:c>
      <x:c r="D63" s="4" t="str">
        <x:v>journal</x:v>
      </x:c>
      <x:c r="E63" s="4" t="str">
        <x:v>OANC</x:v>
      </x:c>
      <x:c r="F63" s="4" t="str">
        <x:v>advanced</x:v>
      </x:c>
      <x:c r="G63" s="10" t="str">
        <x:v>Ford can't remember if it profited from its German
operations under the Nazis, so it has hired historians to help it recall.</x:v>
      </x:c>
      <x:c r="H63" s="10" t="str">
        <x:v>if</x:v>
      </x:c>
      <x:c r="I63" s="4" t="str">
        <x:v>clauses</x:v>
      </x:c>
      <x:c r="J63" s="4" t="str">
        <x:v>Clause marker</x:v>
      </x:c>
      <x:c r="K63" s="4" t="str">
        <x:v>clause_marker</x:v>
      </x:c>
      <x:c r="L63" s="4" t="str">
        <x:v>Interrogative subordinator</x:v>
      </x:c>
      <x:c r="M63" s="10" t="str">
        <x:v>Interrogative subordinator
Infinitival marker
Relative pronoun
Subordinating conjunction</x:v>
      </x:c>
      <x:c r="N63" s="10" t="str">
        <x:v>The highlighted word introduces an embedded question.</x:v>
      </x:c>
      <x:c r="O63" s="12" t="n">
        <x:v>0.6</x:v>
      </x:c>
      <x:c r="P63" s="4" t="str">
        <x:v>en-1.0.0</x:v>
      </x:c>
      <x:c r="Q63" s="4" t="str">
        <x:v>5cee51d8a950b2e9bdf7133a6d97dcd20d2258c6fbb61e9d97b64b8e7249178d</x:v>
      </x:c>
      <x:c r="R63" s="4" t="str">
        <x:v>marker.interrogative.if.review</x:v>
      </x:c>
      <x:c r="S63" s="4" t="str">
        <x:v>manual-review</x:v>
      </x:c>
      <x:c r="T63" s="4" t="str">
        <x:v>review</x:v>
      </x:c>
      <x:c r="U63" s="10" t="str">
        <x:v>CL-MARK-03</x:v>
      </x:c>
      <x:c r="V63" s="10" t="str">
        <x:v>{"adapter_rule_id":"marker-interrogative-if-review","deprels":["mark"],"target_strategy":"anchor-token","token_ids":[5],"upos":["SCONJ"],"xpos":["IN"]}</x:v>
      </x:c>
      <x:c r="W63" s="4" t="str">
        <x:v>1.14.0</x:v>
      </x:c>
      <x:c r="X63" s="4" t="str">
        <x:v>51f32c3b4b77d2a460e8aeaeb653dbd240ad270b7f8b42110f509ff87c483711</x:v>
      </x:c>
      <x:c r="Y63" s="4" t="str">
        <x:v>needs-review</x:v>
      </x:c>
      <x:c r="Z63" s="10" t="str">
        <x:v>Embedded interrogative if must be distinguished from conditional if using the higher construction.</x:v>
      </x:c>
      <x:c r="AA63" s="4" t="str">
        <x:v>manual guard</x:v>
      </x:c>
      <x:c r="AB63" s="16" t="str"/>
      <x:c r="AC63" s="18" t="str"/>
      <x:c r="AD63" s="18" t="str"/>
      <x:c r="AE63" s="18" t="str"/>
      <x:c r="AF63" s="20" t="str"/>
      <x:c r="AG63" s="21"/>
      <x:c r="AH63" s="22" t="str">
        <x:v>Embedded interrogative if must be distinguished from conditional if using the higher construction.</x:v>
      </x:c>
    </x:row>
    <x:row r="64">
      <x:c r="A64" s="4" t="str">
        <x:v>AUTO-CLAUSE-FUNCTION-9008b364c92145d8</x:v>
      </x:c>
      <x:c r="B64" s="4" t="str">
        <x:v>REMAP-ae7f43a83728f628f06b</x:v>
      </x:c>
      <x:c r="C64" s="4" t="str">
        <x:v>oanc-letters-icic-108cxl024-s0033</x:v>
      </x:c>
      <x:c r="D64" s="4" t="str">
        <x:v>letters</x:v>
      </x:c>
      <x:c r="E64" s="4" t="str">
        <x:v>OANC</x:v>
      </x:c>
      <x:c r="F64" s="4" t="str">
        <x:v>advanced</x:v>
      </x:c>
      <x:c r="G64" s="10" t="str">
        <x:v>However, when you
      consider transportation, food, lodging, crafts, sports, counseling and
      much more, you realize it covers a lot (and equals what you might pay for
      a night or two of lodging at a hotel).</x:v>
      </x:c>
      <x:c r="H64" s="10" t="str">
        <x:v>when you
      consider transportation, food, lodging, crafts, sports, counseling and
      much more</x:v>
      </x:c>
      <x:c r="I64" s="4" t="str">
        <x:v>clauses</x:v>
      </x:c>
      <x:c r="J64" s="4" t="str">
        <x:v>Clause function</x:v>
      </x:c>
      <x:c r="K64" s="4" t="str">
        <x:v>clause_function</x:v>
      </x:c>
      <x:c r="L64" s="4" t="str">
        <x:v>A — Adverbial</x:v>
      </x:c>
      <x:c r="M64" s="10" t="str">
        <x:v>A — Adverbial
PostM — Postmodifier
DO — Direct Object
OC / Clausal object</x:v>
      </x:c>
      <x:c r="N64" s="10" t="str">
        <x:v>The highlighted clause functions as an adverbial.</x:v>
      </x:c>
      <x:c r="O64" s="12" t="n">
        <x:v>0.61</x:v>
      </x:c>
      <x:c r="P64" s="4" t="str">
        <x:v>en-1.0.0</x:v>
      </x:c>
      <x:c r="Q64" s="4" t="str">
        <x:v>5cee51d8a950b2e9bdf7133a6d97dcd20d2258c6fbb61e9d97b64b8e7249178d</x:v>
      </x:c>
      <x:c r="R64" s="4" t="str">
        <x:v>function.clause.adverbial.review</x:v>
      </x:c>
      <x:c r="S64" s="4" t="str">
        <x:v>manual-review</x:v>
      </x:c>
      <x:c r="T64" s="4" t="str">
        <x:v>review</x:v>
      </x:c>
      <x:c r="U64" s="10" t="str">
        <x:v>CL-FUNC-04</x:v>
      </x:c>
      <x:c r="V64" s="10" t="str">
        <x:v>{"adapter_rule_id":"function-clause-adverbial","deprels":["advcl","advmod","cc","conj","nsubj","obj","punct"],"target_strategy":"clause-subtree","token_ids":[3,4,5,6,7,8,9,10,11,12,13,14,15,16,17,18,19],"upos":["ADJ","ADV","CCONJ","NOUN","PRON","PUNCT","VERB"],"xpos":[",","CC","JJR","NN","NNS","PRP","RB","VBP","WRB"]}</x:v>
      </x:c>
      <x:c r="W64" s="4" t="str">
        <x:v>1.14.0</x:v>
      </x:c>
      <x:c r="X64" s="4" t="str">
        <x:v>51f32c3b4b77d2a460e8aeaeb653dbd240ad270b7f8b42110f509ff87c483711</x:v>
      </x:c>
      <x:c r="Y64" s="4" t="str">
        <x:v>needs-review</x:v>
      </x:c>
      <x:c r="Z64" s="10" t="str">
        <x:v>An unmarked supplementive clause requires review before assigning A.</x:v>
      </x:c>
      <x:c r="AA64" s="4" t="str">
        <x:v>manual guard</x:v>
      </x:c>
      <x:c r="AB64" s="16" t="str"/>
      <x:c r="AC64" s="18" t="str"/>
      <x:c r="AD64" s="18" t="str"/>
      <x:c r="AE64" s="18" t="str"/>
      <x:c r="AF64" s="20" t="str"/>
      <x:c r="AG64" s="21"/>
      <x:c r="AH64" s="22" t="str">
        <x:v>An unmarked supplementive clause requires review before assigning A.</x:v>
      </x:c>
    </x:row>
    <x:row r="65">
      <x:c r="A65" s="4" t="str">
        <x:v>AUTO-CLAUSE-TYPE-cb02d038228a06d9</x:v>
      </x:c>
      <x:c r="B65" s="4" t="str">
        <x:v>REMAP-e863fd036c631e702324</x:v>
      </x:c>
      <x:c r="C65" s="4" t="str">
        <x:v>masc-newspaper-newspaper-nytnewswire2-s0065</x:v>
      </x:c>
      <x:c r="D65" s="4" t="str">
        <x:v>newspaper</x:v>
      </x:c>
      <x:c r="E65" s="4" t="str">
        <x:v>MASC</x:v>
      </x:c>
      <x:c r="F65" s="4" t="str">
        <x:v>intermediate</x:v>
      </x:c>
      <x:c r="G65" s="10" t="str">
        <x:v>But they seemed pleased that the Russian pair's victory was
achieved with the French judge's vote.</x:v>
      </x:c>
      <x:c r="H65" s="10" t="str">
        <x:v>that the Russian pair's victory was
achieved with the French judge's vote</x:v>
      </x:c>
      <x:c r="I65" s="4" t="str">
        <x:v>clauses</x:v>
      </x:c>
      <x:c r="J65" s="4" t="str">
        <x:v>Clause type</x:v>
      </x:c>
      <x:c r="K65" s="4" t="str">
        <x:v>clause_type</x:v>
      </x:c>
      <x:c r="L65" s="4" t="str">
        <x:v>Nominal clause — postmodifier of an adjective</x:v>
      </x:c>
      <x:c r="M65" s="10" t="str">
        <x:v>Nominal clause — postmodifier of an adjective
Main clause
Restrictive relative clause — function: PostM
Appositive clause</x:v>
      </x:c>
      <x:c r="N65" s="10" t="str">
        <x:v>The highlighted clause completes and postmodifies the adjective.</x:v>
      </x:c>
      <x:c r="O65" s="12" t="n">
        <x:v>0.92</x:v>
      </x:c>
      <x:c r="P65" s="4" t="str">
        <x:v>en-1.0.0</x:v>
      </x:c>
      <x:c r="Q65" s="4" t="str">
        <x:v>5cee51d8a950b2e9bdf7133a6d97dcd20d2258c6fbb61e9d97b64b8e7249178d</x:v>
      </x:c>
      <x:c r="R65" s="4" t="str">
        <x:v>clause.nominal.adjective.postmodifier</x:v>
      </x:c>
      <x:c r="S65" s="4" t="str">
        <x:v>manual-review</x:v>
      </x:c>
      <x:c r="T65" s="4" t="str">
        <x:v>review</x:v>
      </x:c>
      <x:c r="U65" s="10" t="str">
        <x:v>CL-NOM-09
CL-NOM-10</x:v>
      </x:c>
      <x:c r="V65" s="10" t="str">
        <x:v>{"adapter_rule_id":"clause-nominal-adjective-postmodifier","deprels":["amod","aux:pass","case","ccomp","det","mark","nmod:poss","nsubj:pass","obl"],"target_strategy":"clause-subtree","token_ids":[5,6,7,8,9,10,11,12,13,14,15,16,17,18],"upos":["ADJ","ADP","AUX","DET","NOUN","PART","SCONJ","VERB"],"xpos":["DT","IN","JJ","NN","POS","VBD","VBN"]}</x:v>
      </x:c>
      <x:c r="W65" s="4" t="str">
        <x:v>1.14.0</x:v>
      </x:c>
      <x:c r="X65" s="4" t="str">
        <x:v>51f32c3b4b77d2a460e8aeaeb653dbd240ad270b7f8b42110f509ff87c483711</x:v>
      </x:c>
      <x:c r="Y65" s="4" t="str">
        <x:v>needs-review</x:v>
      </x:c>
      <x:c r="Z65" s="10" t="str">
        <x:v>The reviewed contract requires human review.</x:v>
      </x:c>
      <x:c r="AA65" s="4" t="str">
        <x:v>manual guard</x:v>
      </x:c>
      <x:c r="AB65" s="16" t="str"/>
      <x:c r="AC65" s="18" t="str"/>
      <x:c r="AD65" s="18" t="str"/>
      <x:c r="AE65" s="18" t="str"/>
      <x:c r="AF65" s="20" t="str"/>
      <x:c r="AG65" s="21"/>
      <x:c r="AH65" s="22" t="str">
        <x:v>The reviewed contract requires human review.</x:v>
      </x:c>
    </x:row>
    <x:row r="66">
      <x:c r="A66" s="4" t="str">
        <x:v>AUTO-SENTENCE-ELEMENT-888e42361122e6d1</x:v>
      </x:c>
      <x:c r="B66" s="4" t="str">
        <x:v>REMAP-13daf726f9d1ec6e70f8</x:v>
      </x:c>
      <x:c r="C66" s="4" t="str">
        <x:v>masc-government-government-fcic-final-report-conclusions-s0210</x:v>
      </x:c>
      <x:c r="D66" s="4" t="str">
        <x:v>government</x:v>
      </x:c>
      <x:c r="E66" s="4" t="str">
        <x:v>MASC</x:v>
      </x:c>
      <x:c r="F66" s="4" t="str">
        <x:v>intermediate</x:v>
      </x:c>
      <x:c r="G66" s="10" t="str">
        <x:v>When borrowers stopped making 
mortgage payments, the losses—amplified by derivatives—rushed through the 
pipeline.</x:v>
      </x:c>
      <x:c r="H66" s="10" t="str">
        <x:v>making 
mortgage payments</x:v>
      </x:c>
      <x:c r="I66" s="4" t="str">
        <x:v>sentence-elements</x:v>
      </x:c>
      <x:c r="J66" s="4" t="str">
        <x:v>Sentence elements</x:v>
      </x:c>
      <x:c r="K66" s="4" t="str">
        <x:v>sentence_element</x:v>
      </x:c>
      <x:c r="L66" s="4" t="str">
        <x:v>DO — Direct Object</x:v>
      </x:c>
      <x:c r="M66" s="10" t="str">
        <x:v>DO — Direct Object
A + A — two Adverbials
A — Adverbial
OC — Object Complement</x:v>
      </x:c>
      <x:c r="N66" s="10" t="str">
        <x:v>The highlighted unit is the direct object: it is directly affected by the verb.</x:v>
      </x:c>
      <x:c r="O66" s="12" t="n">
        <x:v>0.58</x:v>
      </x:c>
      <x:c r="P66" s="4" t="str">
        <x:v>en-1.0.0</x:v>
      </x:c>
      <x:c r="Q66" s="4" t="str">
        <x:v>5cee51d8a950b2e9bdf7133a6d97dcd20d2258c6fbb61e9d97b64b8e7249178d</x:v>
      </x:c>
      <x:c r="R66" s="4" t="str">
        <x:v>se.gerund.complement.review</x:v>
      </x:c>
      <x:c r="S66" s="4" t="str">
        <x:v>manual-review</x:v>
      </x:c>
      <x:c r="T66" s="4" t="str">
        <x:v>review</x:v>
      </x:c>
      <x:c r="U66" s="10" t="str">
        <x:v>SE-DO-07</x:v>
      </x:c>
      <x:c r="V66" s="10" t="str">
        <x:v>{"adapter_rule_id":"se-gerund-complement-review","deprels":["compound","obj","xcomp"],"target_strategy":"anchor-subtree","token_ids":[4,5,6],"upos":["NOUN","VERB"],"xpos":["NN","NNS","VBG"]}</x:v>
      </x:c>
      <x:c r="W66" s="4" t="str">
        <x:v>1.14.0</x:v>
      </x:c>
      <x:c r="X66" s="4" t="str">
        <x:v>51f32c3b4b77d2a460e8aeaeb653dbd240ad270b7f8b42110f509ff87c483711</x:v>
      </x:c>
      <x:c r="Y66" s="4" t="str">
        <x:v>needs-review</x:v>
      </x:c>
      <x:c r="Z66" s="10" t="str">
        <x:v>The teaching treatment of this -ing complement as DO rather than a general clausal complement is policy-controlled.</x:v>
      </x:c>
      <x:c r="AA66" s="4" t="str">
        <x:v>manual guard</x:v>
      </x:c>
      <x:c r="AB66" s="16" t="str"/>
      <x:c r="AC66" s="18" t="str"/>
      <x:c r="AD66" s="18" t="str"/>
      <x:c r="AE66" s="18" t="str"/>
      <x:c r="AF66" s="20" t="str"/>
      <x:c r="AG66" s="21"/>
      <x:c r="AH66" s="22" t="str">
        <x:v>The teaching treatment of this -ing complement as DO rather than a general clausal complement is policy-controlled.</x:v>
      </x:c>
    </x:row>
    <x:row r="67">
      <x:c r="A67" s="4" t="str">
        <x:v>AUTO-SENTENCE-ELEMENT-a1cac7570e81afc2</x:v>
      </x:c>
      <x:c r="B67" s="4" t="str">
        <x:v>REMAP-f5a73652ab74bed06e2b</x:v>
      </x:c>
      <x:c r="C67" s="4" t="str">
        <x:v>masc-essay-essay-ohio-steel-s0126</x:v>
      </x:c>
      <x:c r="D67" s="4" t="str">
        <x:v>essay</x:v>
      </x:c>
      <x:c r="E67" s="4" t="str">
        <x:v>MASC</x:v>
      </x:c>
      <x:c r="F67" s="4" t="str">
        <x:v>basic</x:v>
      </x:c>
      <x:c r="G67" s="10" t="str">
        <x:v>Two blocks over one finds Boardman, a
well-off township with a reputation for rich but unsuccessful schools.</x:v>
      </x:c>
      <x:c r="H67" s="10" t="str">
        <x:v>with a reputation for rich but unsuccessful schools</x:v>
      </x:c>
      <x:c r="I67" s="4" t="str">
        <x:v>sentence-elements</x:v>
      </x:c>
      <x:c r="J67" s="4" t="str">
        <x:v>Sentence elements</x:v>
      </x:c>
      <x:c r="K67" s="4" t="str">
        <x:v>sentence_element</x:v>
      </x:c>
      <x:c r="L67" s="4" t="str">
        <x:v>OC — Object Complement</x:v>
      </x:c>
      <x:c r="M67" s="10" t="str">
        <x:v>OC — Object Complement
SC — Subject Complement
Operator
P — Predicator</x:v>
      </x:c>
      <x:c r="N67" s="10" t="str">
        <x:v>The highlighted unit is predicated of the object and functions as its complement.</x:v>
      </x:c>
      <x:c r="O67" s="12" t="n">
        <x:v>0.58</x:v>
      </x:c>
      <x:c r="P67" s="4" t="str">
        <x:v>en-1.0.0</x:v>
      </x:c>
      <x:c r="Q67" s="4" t="str">
        <x:v>5cee51d8a950b2e9bdf7133a6d97dcd20d2258c6fbb61e9d97b64b8e7249178d</x:v>
      </x:c>
      <x:c r="R67" s="4" t="str">
        <x:v>se.object.complement.pp.review</x:v>
      </x:c>
      <x:c r="S67" s="4" t="str">
        <x:v>manual-review</x:v>
      </x:c>
      <x:c r="T67" s="4" t="str">
        <x:v>review</x:v>
      </x:c>
      <x:c r="U67" s="10" t="str">
        <x:v>SE-OC-03</x:v>
      </x:c>
      <x:c r="V67" s="10" t="str">
        <x:v>{"adapter_rule_id":"se-object-complement-pp-review","deprels":["amod","case","cc","conj","det","nmod","obl"],"target_strategy":"anchor-subtree","token_ids":[13,14,15,16,17,18,19,20],"upos":["ADJ","ADP","CCONJ","DET","NOUN"],"xpos":["CC","DT","IN","JJ","NN","NNS"]}</x:v>
      </x:c>
      <x:c r="W67" s="4" t="str">
        <x:v>1.14.0</x:v>
      </x:c>
      <x:c r="X67" s="4" t="str">
        <x:v>51f32c3b4b77d2a460e8aeaeb653dbd240ad270b7f8b42110f509ff87c483711</x:v>
      </x:c>
      <x:c r="Y67" s="4" t="str">
        <x:v>needs-review</x:v>
      </x:c>
      <x:c r="Z67" s="10" t="str">
        <x:v>Incompatible formal rules matched the same sentence/dimension/target: Context needed, OC — Object Complement</x:v>
      </x:c>
      <x:c r="AA67" s="4" t="str">
        <x:v>conflict</x:v>
      </x:c>
      <x:c r="AB67" s="16" t="str"/>
      <x:c r="AC67" s="18" t="str"/>
      <x:c r="AD67" s="18" t="str"/>
      <x:c r="AE67" s="18" t="str"/>
      <x:c r="AF67" s="20" t="str"/>
      <x:c r="AG67" s="21"/>
      <x:c r="AH67" s="22" t="str">
        <x:v>Incompatible formal rules matched the same sentence/dimension/target: Context needed, OC — Object Complement</x:v>
      </x:c>
    </x:row>
    <x:row r="68">
      <x:c r="A68" s="4" t="str">
        <x:v>AUTO-CLAUSE-TYPE-318e5fe1e32485c6</x:v>
      </x:c>
      <x:c r="B68" s="4" t="str">
        <x:v>REMAP-4911d37daa28e3bef41c</x:v>
      </x:c>
      <x:c r="C68" s="4" t="str">
        <x:v>oanc-journal-verbatim-vol19-3-s0092</x:v>
      </x:c>
      <x:c r="D68" s="4" t="str">
        <x:v>journal</x:v>
      </x:c>
      <x:c r="E68" s="4" t="str">
        <x:v>OANC</x:v>
      </x:c>
      <x:c r="F68" s="4" t="str">
        <x:v>intermediate</x:v>
      </x:c>
      <x:c r="G68" s="10" t="str">
        <x:v>As a student of mine once remarked, I suppose
it is all part of the wonder about being alive.</x:v>
      </x:c>
      <x:c r="H68" s="10" t="str">
        <x:v>about being alive</x:v>
      </x:c>
      <x:c r="I68" s="4" t="str">
        <x:v>clauses</x:v>
      </x:c>
      <x:c r="J68" s="4" t="str">
        <x:v>Clause type</x:v>
      </x:c>
      <x:c r="K68" s="4" t="str">
        <x:v>clause_type</x:v>
      </x:c>
      <x:c r="L68" s="4" t="str">
        <x:v>Adverbial clause — function: A</x:v>
      </x:c>
      <x:c r="M68" s="10" t="str">
        <x:v>Adverbial clause — function: A
Nominal clause — function: SC
Restrictive relative clause — function: PostM
Conditional adverbial clause</x:v>
      </x:c>
      <x:c r="N68" s="10" t="str">
        <x:v>The highlighted clause functions as an adverbial in the larger sentence.</x:v>
      </x:c>
      <x:c r="O68" s="12" t="n">
        <x:v>0.59</x:v>
      </x:c>
      <x:c r="P68" s="4" t="str">
        <x:v>en-1.0.0</x:v>
      </x:c>
      <x:c r="Q68" s="4" t="str">
        <x:v>5cee51d8a950b2e9bdf7133a6d97dcd20d2258c6fbb61e9d97b64b8e7249178d</x:v>
      </x:c>
      <x:c r="R68" s="4" t="str">
        <x:v>clause.generic.adverbial.review</x:v>
      </x:c>
      <x:c r="S68" s="4" t="str">
        <x:v>manual-review</x:v>
      </x:c>
      <x:c r="T68" s="4" t="str">
        <x:v>review</x:v>
      </x:c>
      <x:c r="U68" s="10" t="str">
        <x:v>CL-ADV-14
CL-ADV-15</x:v>
      </x:c>
      <x:c r="V68" s="10" t="str">
        <x:v>{"adapter_rule_id":"clause-generic-adverbial","deprels":["advcl","cop","mark"],"target_strategy":"clause-subtree","token_ids":[18,19,20],"upos":["ADJ","AUX","SCONJ"],"xpos":["IN","JJ","VBG"]}</x:v>
      </x:c>
      <x:c r="W68" s="4" t="str">
        <x:v>1.14.0</x:v>
      </x:c>
      <x:c r="X68" s="4" t="str">
        <x:v>51f32c3b4b77d2a460e8aeaeb653dbd240ad270b7f8b42110f509ff87c483711</x:v>
      </x:c>
      <x:c r="Y68" s="4" t="str">
        <x:v>needs-review</x:v>
      </x:c>
      <x:c r="Z68" s="10" t="str">
        <x:v>The reduced clause lacks an overt finite verb and requires manual confirmation.</x:v>
      </x:c>
      <x:c r="AA68" s="4" t="str">
        <x:v>manual guard</x:v>
      </x:c>
      <x:c r="AB68" s="16" t="str"/>
      <x:c r="AC68" s="18" t="str"/>
      <x:c r="AD68" s="18" t="str"/>
      <x:c r="AE68" s="18" t="str"/>
      <x:c r="AF68" s="20" t="str"/>
      <x:c r="AG68" s="21"/>
      <x:c r="AH68" s="22" t="str">
        <x:v>The reduced clause lacks an overt finite verb and requires manual confirmation.</x:v>
      </x:c>
    </x:row>
    <x:row r="69">
      <x:c r="A69" s="4" t="str">
        <x:v>AUTO-CLAUSE-TYPE-6f73d07fcf0bad2b</x:v>
      </x:c>
      <x:c r="B69" s="4" t="str">
        <x:v>REMAP-374f8fdc9e828eac7a51</x:v>
      </x:c>
      <x:c r="C69" s="4" t="str">
        <x:v>masc-government-government-protocol-regarding-access-s0059</x:v>
      </x:c>
      <x:c r="D69" s="4" t="str">
        <x:v>government</x:v>
      </x:c>
      <x:c r="E69" s="4" t="str">
        <x:v>MASC</x:v>
      </x:c>
      <x:c r="F69" s="4" t="str">
        <x:v>advanced</x:v>
      </x:c>
      <x:c r="G69" s="10" t="str">
        <x:v>If the Vice President for Programs determines that LSC should
proceed to take action affecting the recipient, it shall notify the
recipient in writing of the action that is proposed.</x:v>
      </x:c>
      <x:c r="H69" s="10" t="str">
        <x:v>affecting the recipient</x:v>
      </x:c>
      <x:c r="I69" s="4" t="str">
        <x:v>clauses</x:v>
      </x:c>
      <x:c r="J69" s="4" t="str">
        <x:v>Clause type</x:v>
      </x:c>
      <x:c r="K69" s="4" t="str">
        <x:v>clause_type</x:v>
      </x:c>
      <x:c r="L69" s="4" t="str">
        <x:v>Supplementive non-finite clause — function: A</x:v>
      </x:c>
      <x:c r="M69" s="10" t="str">
        <x:v>Supplementive non-finite clause — function: A
Concessive adverbial clause
Nominal clause — function: SC
Nominal relative clause — function: S</x:v>
      </x:c>
      <x:c r="N69" s="10" t="str">
        <x:v>The highlighted non-finite supplementive clause functions as an adverbial.</x:v>
      </x:c>
      <x:c r="O69" s="12" t="n">
        <x:v>0.61</x:v>
      </x:c>
      <x:c r="P69" s="4" t="str">
        <x:v>en-1.0.0</x:v>
      </x:c>
      <x:c r="Q69" s="4" t="str">
        <x:v>5cee51d8a950b2e9bdf7133a6d97dcd20d2258c6fbb61e9d97b64b8e7249178d</x:v>
      </x:c>
      <x:c r="R69" s="4" t="str">
        <x:v>clause.supplementive.review</x:v>
      </x:c>
      <x:c r="S69" s="4" t="str">
        <x:v>manual-review</x:v>
      </x:c>
      <x:c r="T69" s="4" t="str">
        <x:v>review</x:v>
      </x:c>
      <x:c r="U69" s="10" t="str">
        <x:v>CL-ADV-11</x:v>
      </x:c>
      <x:c r="V69" s="10" t="str">
        <x:v>{"adapter_rule_id":"clause-supplementive-review","deprels":["advcl","det","obj"],"target_strategy":"clause-subtree","token_ids":[15,16,17],"upos":["DET","NOUN","VERB"],"xpos":["DT","NN","VBG"]}</x:v>
      </x:c>
      <x:c r="W69" s="4" t="str">
        <x:v>1.14.0</x:v>
      </x:c>
      <x:c r="X69" s="4" t="str">
        <x:v>51f32c3b4b77d2a460e8aeaeb653dbd240ad270b7f8b42110f509ff87c483711</x:v>
      </x:c>
      <x:c r="Y69" s="4" t="str">
        <x:v>needs-review</x:v>
      </x:c>
      <x:c r="Z69" s="10" t="str">
        <x:v>The supplementive function is structurally plausible, but its semantic subtype requires review.</x:v>
      </x:c>
      <x:c r="AA69" s="4" t="str">
        <x:v>manual guard</x:v>
      </x:c>
      <x:c r="AB69" s="16" t="str"/>
      <x:c r="AC69" s="18" t="str"/>
      <x:c r="AD69" s="18" t="str"/>
      <x:c r="AE69" s="18" t="str"/>
      <x:c r="AF69" s="20" t="str"/>
      <x:c r="AG69" s="21"/>
      <x:c r="AH69" s="22" t="str">
        <x:v>The supplementive function is structurally plausible, but its semantic subtype requires review.</x:v>
      </x:c>
    </x:row>
    <x:row r="70">
      <x:c r="A70" s="4" t="str">
        <x:v>AUTO-SENTENCE-ELEMENT-5aaefff126ff8e1a</x:v>
      </x:c>
      <x:c r="B70" s="4" t="str">
        <x:v>REMAP-5e07420a310d783cf06e</x:v>
      </x:c>
      <x:c r="C70" s="4" t="str">
        <x:v>masc-letters-letters-110cyl071-s0014</x:v>
      </x:c>
      <x:c r="D70" s="4" t="str">
        <x:v>letters</x:v>
      </x:c>
      <x:c r="E70" s="4" t="str">
        <x:v>MASC</x:v>
      </x:c>
      <x:c r="F70" s="4" t="str">
        <x:v>basic</x:v>
      </x:c>
      <x:c r="G70" s="10" t="str">
        <x:v>At last, he has found success in a job that he loves.</x:v>
      </x:c>
      <x:c r="H70" s="10" t="str">
        <x:v>At last</x:v>
      </x:c>
      <x:c r="I70" s="4" t="str">
        <x:v>sentence-elements</x:v>
      </x:c>
      <x:c r="J70" s="4" t="str">
        <x:v>Sentence elements</x:v>
      </x:c>
      <x:c r="K70" s="4" t="str">
        <x:v>sentence_element</x:v>
      </x:c>
      <x:c r="L70" s="4" t="str">
        <x:v>Context needed</x:v>
      </x:c>
      <x:c r="M70" s="10" t="str">
        <x:v>Context needed
DO — Direct Object
P — Predicator
OC — Object Complement</x:v>
      </x:c>
      <x:c r="N70" s="10" t="str">
        <x:v>The available sentence permits more than one defensible attachment or function, so a manual decision is required.</x:v>
      </x:c>
      <x:c r="O70" s="12" t="n">
        <x:v>0.45</x:v>
      </x:c>
      <x:c r="P70" s="4" t="str">
        <x:v>en-1.0.0</x:v>
      </x:c>
      <x:c r="Q70" s="4" t="str">
        <x:v>5cee51d8a950b2e9bdf7133a6d97dcd20d2258c6fbb61e9d97b64b8e7249178d</x:v>
      </x:c>
      <x:c r="R70" s="4" t="str">
        <x:v>se.ambiguous.pp.review.review.context-needed-pp-attachment-is-ambiguous-</x:v>
      </x:c>
      <x:c r="S70" s="4" t="str">
        <x:v>manual-review</x:v>
      </x:c>
      <x:c r="T70" s="4" t="str">
        <x:v>review</x:v>
      </x:c>
      <x:c r="U70" s="10" t="str">
        <x:v>REVIEW-01</x:v>
      </x:c>
      <x:c r="V70" s="10" t="str">
        <x:v>{"adapter_rule_id":"se-ambiguous-pp-review","deprels":["case","obl"],"target_strategy":"anchor-subtree","token_ids":[1,2],"upos":["ADJ","ADP"],"xpos":["IN","JJ"]}</x:v>
      </x:c>
      <x:c r="W70" s="4" t="str">
        <x:v>1.14.0</x:v>
      </x:c>
      <x:c r="X70" s="4" t="str">
        <x:v>51f32c3b4b77d2a460e8aeaeb653dbd240ad270b7f8b42110f509ff87c483711</x:v>
      </x:c>
      <x:c r="Y70" s="4" t="str">
        <x:v>needs-review</x:v>
      </x:c>
      <x:c r="Z70" s="10" t="str">
        <x:v>Incompatible formal rules matched the same sentence/dimension/target: Context needed, OC — Object Complement</x:v>
      </x:c>
      <x:c r="AA70" s="4" t="str">
        <x:v>conflict</x:v>
      </x:c>
      <x:c r="AB70" s="16" t="str"/>
      <x:c r="AC70" s="18" t="str"/>
      <x:c r="AD70" s="18" t="str"/>
      <x:c r="AE70" s="18" t="str"/>
      <x:c r="AF70" s="20" t="str"/>
      <x:c r="AG70" s="21"/>
      <x:c r="AH70" s="22" t="str">
        <x:v>Incompatible formal rules matched the same sentence/dimension/target: Context needed, OC — Object Complement</x:v>
      </x:c>
    </x:row>
    <x:row r="71">
      <x:c r="A71" s="4" t="str">
        <x:v>AUTO-CLAUSE-STRUCTURE-1150cb5086ee95dd</x:v>
      </x:c>
      <x:c r="B71" s="4" t="str">
        <x:v>REMAP-b163289b8d62c234045b</x:v>
      </x:c>
      <x:c r="C71" s="4" t="str">
        <x:v>masc-journal-journal-articleip-1059-s0020</x:v>
      </x:c>
      <x:c r="D71" s="4" t="str">
        <x:v>journal</x:v>
      </x:c>
      <x:c r="E71" s="4" t="str">
        <x:v>MASC</x:v>
      </x:c>
      <x:c r="F71" s="4" t="str">
        <x:v>intermediate</x:v>
      </x:c>
      <x:c r="G71" s="10" t="str">
        <x:v>Anxious to avoid
being blamed for Palestinian landlessness, British officials began imposing
token restrictions on Jewish land purchase in 1940.</x:v>
      </x:c>
      <x:c r="H71" s="10" t="str">
        <x:v>Anxious to avoid
being blamed for Palestinian landlessness</x:v>
      </x:c>
      <x:c r="I71" s="4" t="str">
        <x:v>clauses</x:v>
      </x:c>
      <x:c r="J71" s="4" t="str">
        <x:v>Clause structure</x:v>
      </x:c>
      <x:c r="K71" s="4" t="str">
        <x:v>clause_structure</x:v>
      </x:c>
      <x:c r="L71" s="4" t="str">
        <x:v>Reduced / verbless clause</x:v>
      </x:c>
      <x:c r="M71" s="10" t="str">
        <x:v>Reduced / verbless clause
Finite whether/if-clause
-ing clause
Comparative clause</x:v>
      </x:c>
      <x:c r="N71" s="10" t="str">
        <x:v>The highlighted subordinate unit is reduced and has no overt finite verb.</x:v>
      </x:c>
      <x:c r="O71" s="12" t="n">
        <x:v>0.58</x:v>
      </x:c>
      <x:c r="P71" s="4" t="str">
        <x:v>en-1.0.0</x:v>
      </x:c>
      <x:c r="Q71" s="4" t="str">
        <x:v>5cee51d8a950b2e9bdf7133a6d97dcd20d2258c6fbb61e9d97b64b8e7249178d</x:v>
      </x:c>
      <x:c r="R71" s="4" t="str">
        <x:v>structure.reduced.review</x:v>
      </x:c>
      <x:c r="S71" s="4" t="str">
        <x:v>manual-review</x:v>
      </x:c>
      <x:c r="T71" s="4" t="str">
        <x:v>review</x:v>
      </x:c>
      <x:c r="U71" s="10" t="str">
        <x:v>CL-STR-09</x:v>
      </x:c>
      <x:c r="V71" s="10" t="str">
        <x:v>{"adapter_rule_id":"structure-reduced-review","deprels":["advcl","amod","aux:pass","case","mark","obl","xcomp"],"target_strategy":"clause-subtree","token_ids":[1,2,3,4,5,6,7,8],"upos":["ADJ","ADP","AUX","NOUN","PART","VERB"],"xpos":["IN","JJ","NN","TO","VB","VBG","VBN"]}</x:v>
      </x:c>
      <x:c r="W71" s="4" t="str">
        <x:v>1.14.0</x:v>
      </x:c>
      <x:c r="X71" s="4" t="str">
        <x:v>51f32c3b4b77d2a460e8aeaeb653dbd240ad270b7f8b42110f509ff87c483711</x:v>
      </x:c>
      <x:c r="Y71" s="4" t="str">
        <x:v>needs-review</x:v>
      </x:c>
      <x:c r="Z71" s="10" t="str">
        <x:v>Reduced adjective-based clauses are not represented consistently by automatic dependency parses.</x:v>
      </x:c>
      <x:c r="AA71" s="4" t="str">
        <x:v>manual guard</x:v>
      </x:c>
      <x:c r="AB71" s="16" t="str"/>
      <x:c r="AC71" s="18" t="str"/>
      <x:c r="AD71" s="18" t="str"/>
      <x:c r="AE71" s="18" t="str"/>
      <x:c r="AF71" s="20" t="str"/>
      <x:c r="AG71" s="21"/>
      <x:c r="AH71" s="22" t="str">
        <x:v>Reduced adjective-based clauses are not represented consistently by automatic dependency parses.</x:v>
      </x:c>
    </x:row>
    <x:row r="72">
      <x:c r="A72" s="4" t="str">
        <x:v>AUTO-CLAUSE-TYPE-edf174a163bacc26</x:v>
      </x:c>
      <x:c r="B72" s="4" t="str">
        <x:v>REMAP-be2e56a157bfdc6f4bbf</x:v>
      </x:c>
      <x:c r="C72" s="4" t="str">
        <x:v>masc-technical-technical-1471-213x-1-1-s0029</x:v>
      </x:c>
      <x:c r="D72" s="4" t="str">
        <x:v>technical</x:v>
      </x:c>
      <x:c r="E72" s="4" t="str">
        <x:v>MASC</x:v>
      </x:c>
      <x:c r="F72" s="4" t="str">
        <x:v>basic</x:v>
      </x:c>
      <x:c r="G72" s="10" t="str">
        <x:v>In the paraxial mesoderm, the highest
        expression levels were also localized ventrally, adjacent
        to the notochord (figure 1E).</x:v>
      </x:c>
      <x:c r="H72" s="10" t="str">
        <x:v>adjacent
        to the notochord</x:v>
      </x:c>
      <x:c r="I72" s="4" t="str">
        <x:v>clauses</x:v>
      </x:c>
      <x:c r="J72" s="4" t="str">
        <x:v>Clause type</x:v>
      </x:c>
      <x:c r="K72" s="4" t="str">
        <x:v>clause_type</x:v>
      </x:c>
      <x:c r="L72" s="4" t="str">
        <x:v>Adverbial clause — function: A</x:v>
      </x:c>
      <x:c r="M72" s="10" t="str">
        <x:v>Adverbial clause — function: A
Place / free-choice adverbial clause
Supplementive non-finite clause — function: A
Negative-conditional adverbial clause</x:v>
      </x:c>
      <x:c r="N72" s="10" t="str">
        <x:v>The highlighted clause functions as an adverbial in the larger sentence.</x:v>
      </x:c>
      <x:c r="O72" s="12" t="n">
        <x:v>0.59</x:v>
      </x:c>
      <x:c r="P72" s="4" t="str">
        <x:v>en-1.0.0</x:v>
      </x:c>
      <x:c r="Q72" s="4" t="str">
        <x:v>5cee51d8a950b2e9bdf7133a6d97dcd20d2258c6fbb61e9d97b64b8e7249178d</x:v>
      </x:c>
      <x:c r="R72" s="4" t="str">
        <x:v>clause.generic.adverbial.review</x:v>
      </x:c>
      <x:c r="S72" s="4" t="str">
        <x:v>manual-review</x:v>
      </x:c>
      <x:c r="T72" s="4" t="str">
        <x:v>review</x:v>
      </x:c>
      <x:c r="U72" s="10" t="str">
        <x:v>CL-ADV-14
CL-ADV-15</x:v>
      </x:c>
      <x:c r="V72" s="10" t="str">
        <x:v>{"adapter_rule_id":"clause-generic-adverbial","deprels":["advcl","case","det","obl"],"target_strategy":"clause-subtree","token_ids":[15,16,17,18],"upos":["ADJ","ADP","DET","NOUN"],"xpos":["DT","IN","JJ","NN"]}</x:v>
      </x:c>
      <x:c r="W72" s="4" t="str">
        <x:v>1.14.0</x:v>
      </x:c>
      <x:c r="X72" s="4" t="str">
        <x:v>51f32c3b4b77d2a460e8aeaeb653dbd240ad270b7f8b42110f509ff87c483711</x:v>
      </x:c>
      <x:c r="Y72" s="4" t="str">
        <x:v>needs-review</x:v>
      </x:c>
      <x:c r="Z72" s="10" t="str">
        <x:v>The reduced clause lacks an overt finite verb and requires manual confirmation.</x:v>
      </x:c>
      <x:c r="AA72" s="4" t="str">
        <x:v>manual guard</x:v>
      </x:c>
      <x:c r="AB72" s="16" t="str"/>
      <x:c r="AC72" s="18" t="str"/>
      <x:c r="AD72" s="18" t="str"/>
      <x:c r="AE72" s="18" t="str"/>
      <x:c r="AF72" s="20" t="str"/>
      <x:c r="AG72" s="21"/>
      <x:c r="AH72" s="22" t="str">
        <x:v>The reduced clause lacks an overt finite verb and requires manual confirmation.</x:v>
      </x:c>
    </x:row>
    <x:row r="73">
      <x:c r="A73" s="4" t="str">
        <x:v>AUTO-SENTENCE-ELEMENT-1a5b04a60998cbd4</x:v>
      </x:c>
      <x:c r="B73" s="4" t="str">
        <x:v>REMAP-1ad2a3ddfbcc5cdc0b74</x:v>
      </x:c>
      <x:c r="C73" s="4" t="str">
        <x:v>masc-journal-journal-vol15-3-s0469</x:v>
      </x:c>
      <x:c r="D73" s="4" t="str">
        <x:v>journal</x:v>
      </x:c>
      <x:c r="E73" s="4" t="str">
        <x:v>MASC</x:v>
      </x:c>
      <x:c r="F73" s="4" t="str">
        <x:v>basic</x:v>
      </x:c>
      <x:c r="G73" s="10" t="str">
        <x:v>Land where the Pilgrims pried.</x:v>
      </x:c>
      <x:c r="H73" s="10" t="str">
        <x:v>where the Pilgrims pried</x:v>
      </x:c>
      <x:c r="I73" s="4" t="str">
        <x:v>sentence-elements</x:v>
      </x:c>
      <x:c r="J73" s="4" t="str">
        <x:v>Sentence elements</x:v>
      </x:c>
      <x:c r="K73" s="4" t="str">
        <x:v>sentence_element</x:v>
      </x:c>
      <x:c r="L73" s="4" t="str">
        <x:v>A — Adverbial</x:v>
      </x:c>
      <x:c r="M73" s="10" t="str">
        <x:v>A — Adverbial
A + A — two Adverbials
DO — Direct Object
Formal S + Postponed S</x:v>
      </x:c>
      <x:c r="N73" s="10" t="str">
        <x:v>The highlighted unit adds circumstantial information to the clause.</x:v>
      </x:c>
      <x:c r="O73" s="12" t="n">
        <x:v>0.6</x:v>
      </x:c>
      <x:c r="P73" s="4" t="str">
        <x:v>en-1.0.0</x:v>
      </x:c>
      <x:c r="Q73" s="4" t="str">
        <x:v>5cee51d8a950b2e9bdf7133a6d97dcd20d2258c6fbb61e9d97b64b8e7249178d</x:v>
      </x:c>
      <x:c r="R73" s="4" t="str">
        <x:v>se.adverbial.clause.review</x:v>
      </x:c>
      <x:c r="S73" s="4" t="str">
        <x:v>manual-review</x:v>
      </x:c>
      <x:c r="T73" s="4" t="str">
        <x:v>review</x:v>
      </x:c>
      <x:c r="U73" s="10" t="str">
        <x:v>SE-A-06
SE-A-07</x:v>
      </x:c>
      <x:c r="V73" s="10" t="str">
        <x:v>{"adapter_rule_id":"se-adverbial-clause","deprels":["advcl","advmod","det","nsubj"],"target_strategy":"anchor-subtree","token_ids":[2,3,4,5],"upos":["ADV","DET","PROPN","VERB"],"xpos":["DT","NNPS","VBD","WRB"]}</x:v>
      </x:c>
      <x:c r="W73" s="4" t="str">
        <x:v>1.14.0</x:v>
      </x:c>
      <x:c r="X73" s="4" t="str">
        <x:v>51f32c3b4b77d2a460e8aeaeb653dbd240ad270b7f8b42110f509ff87c483711</x:v>
      </x:c>
      <x:c r="Y73" s="4" t="str">
        <x:v>needs-review</x:v>
      </x:c>
      <x:c r="Z73" s="10" t="str">
        <x:v>An unmarked non-finite supplementive clause requires semantic review.</x:v>
      </x:c>
      <x:c r="AA73" s="4" t="str">
        <x:v>manual guard</x:v>
      </x:c>
      <x:c r="AB73" s="16" t="str"/>
      <x:c r="AC73" s="18" t="str"/>
      <x:c r="AD73" s="18" t="str"/>
      <x:c r="AE73" s="18" t="str"/>
      <x:c r="AF73" s="20" t="str"/>
      <x:c r="AG73" s="21"/>
      <x:c r="AH73" s="22" t="str">
        <x:v>An unmarked non-finite supplementive clause requires semantic review.</x:v>
      </x:c>
    </x:row>
    <x:row r="74">
      <x:c r="A74" s="4" t="str">
        <x:v>AUTO-CLAUSE-FUNCTION-764cf566b8b3bab5</x:v>
      </x:c>
      <x:c r="B74" s="4" t="str">
        <x:v>REMAP-fe8185a0ccd45e146ff9</x:v>
      </x:c>
      <x:c r="C74" s="4" t="str">
        <x:v>oanc-nonfiction-oup-ch10-s0392</x:v>
      </x:c>
      <x:c r="D74" s="4" t="str">
        <x:v>nonfiction</x:v>
      </x:c>
      <x:c r="E74" s="4" t="str">
        <x:v>OANC</x:v>
      </x:c>
      <x:c r="F74" s="4" t="str">
        <x:v>intermediate</x:v>
      </x:c>
      <x:c r="G74" s="10" t="str">
        <x:v>I noted above that current theory sees two approaches to linking the quantum and classical realms.</x:v>
      </x:c>
      <x:c r="H74" s="10" t="str">
        <x:v>that current theory sees two approaches to linking the quantum and classical realms</x:v>
      </x:c>
      <x:c r="I74" s="4" t="str">
        <x:v>clauses</x:v>
      </x:c>
      <x:c r="J74" s="4" t="str">
        <x:v>Clause function</x:v>
      </x:c>
      <x:c r="K74" s="4" t="str">
        <x:v>clause_function</x:v>
      </x:c>
      <x:c r="L74" s="4" t="str">
        <x:v>DO — Direct Object</x:v>
      </x:c>
      <x:c r="M74" s="10" t="str">
        <x:v>DO — Direct Object
OC / Clausal object
S — Subject
PostM — Postmodifier</x:v>
      </x:c>
      <x:c r="N74" s="10" t="str">
        <x:v>The highlighted clause functions as the direct object of the higher verb.</x:v>
      </x:c>
      <x:c r="O74" s="12" t="n">
        <x:v>0.58</x:v>
      </x:c>
      <x:c r="P74" s="4" t="str">
        <x:v>en-1.0.0</x:v>
      </x:c>
      <x:c r="Q74" s="4" t="str">
        <x:v>5cee51d8a950b2e9bdf7133a6d97dcd20d2258c6fbb61e9d97b64b8e7249178d</x:v>
      </x:c>
      <x:c r="R74" s="4" t="str">
        <x:v>function.clause.direct.object.review.do-direct-object-the-higher-clause-functio</x:v>
      </x:c>
      <x:c r="S74" s="4" t="str">
        <x:v>manual-review</x:v>
      </x:c>
      <x:c r="T74" s="4" t="str">
        <x:v>review</x:v>
      </x:c>
      <x:c r="U74" s="10" t="str">
        <x:v>CL-FUNC-02</x:v>
      </x:c>
      <x:c r="V74" s="10" t="str">
        <x:v>{"adapter_rule_id":"function-clause-direct-object","deprels":["acl","amod","cc","ccomp","conj","det","mark","nsubj","nummod","obj"],"target_strategy":"clause-subtree","token_ids":[4,5,6,7,8,9,10,11,12,13,14,15,16],"upos":["ADJ","CCONJ","DET","NOUN","NUM","SCONJ","VERB"],"xpos":["CC","CD","DT","IN","JJ","NN","NNS","VBG","VBZ"]}</x:v>
      </x:c>
      <x:c r="W74" s="4" t="str">
        <x:v>1.14.0</x:v>
      </x:c>
      <x:c r="X74" s="4" t="str">
        <x:v>51f32c3b4b77d2a460e8aeaeb653dbd240ad270b7f8b42110f509ff87c483711</x:v>
      </x:c>
      <x:c r="Y74" s="4" t="str">
        <x:v>needs-review</x:v>
      </x:c>
      <x:c r="Z74" s="10" t="str">
        <x:v>The higher-clause function depends on the matrix predicate.</x:v>
      </x:c>
      <x:c r="AA74" s="4" t="str">
        <x:v>manual guard</x:v>
      </x:c>
      <x:c r="AB74" s="16" t="str"/>
      <x:c r="AC74" s="18" t="str"/>
      <x:c r="AD74" s="18" t="str"/>
      <x:c r="AE74" s="18" t="str"/>
      <x:c r="AF74" s="20" t="str"/>
      <x:c r="AG74" s="21"/>
      <x:c r="AH74" s="22" t="str">
        <x:v>The higher-clause function depends on the matrix predicate.</x:v>
      </x:c>
    </x:row>
    <x:row r="75">
      <x:c r="A75" s="4" t="str">
        <x:v>AUTO-CLAUSE-TYPE-ea720ac0c16fde6a</x:v>
      </x:c>
      <x:c r="B75" s="4" t="str">
        <x:v>REMAP-3fae915d073087f5fcca</x:v>
      </x:c>
      <x:c r="C75" s="4" t="str">
        <x:v>masc-essay-essay-a-defense-of-michael-moore-s0079</x:v>
      </x:c>
      <x:c r="D75" s="4" t="str">
        <x:v>essay</x:v>
      </x:c>
      <x:c r="E75" s="4" t="str">
        <x:v>MASC</x:v>
      </x:c>
      <x:c r="F75" s="4" t="str">
        <x:v>basic</x:v>
      </x:c>
      <x:c r="G75" s="10" t="str">
        <x:v>Aha, this is the person we are talking about.</x:v>
      </x:c>
      <x:c r="H75" s="10" t="str">
        <x:v>we are talking about</x:v>
      </x:c>
      <x:c r="I75" s="4" t="str">
        <x:v>clauses</x:v>
      </x:c>
      <x:c r="J75" s="4" t="str">
        <x:v>Clause type</x:v>
      </x:c>
      <x:c r="K75" s="4" t="str">
        <x:v>clause_type</x:v>
      </x:c>
      <x:c r="L75" s="4" t="str">
        <x:v>Restrictive relative clause — function: PostM</x:v>
      </x:c>
      <x:c r="M75" s="10" t="str">
        <x:v>Restrictive relative clause — function: PostM
Nominal clause — function: SC
Non-restrictive relative clause — function: PostM
Supplementive non-finite clause — function: A</x:v>
      </x:c>
      <x:c r="N75" s="10" t="str">
        <x:v>The highlighted relative clause restricts its antecedent and functions as a postmodifier.</x:v>
      </x:c>
      <x:c r="O75" s="12" t="n">
        <x:v>0.6</x:v>
      </x:c>
      <x:c r="P75" s="4" t="str">
        <x:v>en-1.0.0</x:v>
      </x:c>
      <x:c r="Q75" s="4" t="str">
        <x:v>5cee51d8a950b2e9bdf7133a6d97dcd20d2258c6fbb61e9d97b64b8e7249178d</x:v>
      </x:c>
      <x:c r="R75" s="4" t="str">
        <x:v>clause.relative.zero.review.review.restrictive-relative-clause-function-postm</x:v>
      </x:c>
      <x:c r="S75" s="4" t="str">
        <x:v>manual-review</x:v>
      </x:c>
      <x:c r="T75" s="4" t="str">
        <x:v>review</x:v>
      </x:c>
      <x:c r="U75" s="10" t="str">
        <x:v>CL-REL-02
CL-REL-07</x:v>
      </x:c>
      <x:c r="V75" s="10" t="str">
        <x:v>{"adapter_rule_id":"clause-relative-zero-review","deprels":["acl:relcl","aux","nsubj","obl"],"target_strategy":"clause-subtree","token_ids":[7,8,9,10],"upos":["ADP","AUX","PRON","VERB"],"xpos":["IN","PRP","VBG","VBP"]}</x:v>
      </x:c>
      <x:c r="W75" s="4" t="str">
        <x:v>1.14.0</x:v>
      </x:c>
      <x:c r="X75" s="4" t="str">
        <x:v>51f32c3b4b77d2a460e8aeaeb653dbd240ad270b7f8b42110f509ff87c483711</x:v>
      </x:c>
      <x:c r="Y75" s="4" t="str">
        <x:v>needs-review</x:v>
      </x:c>
      <x:c r="Z75" s="10" t="str">
        <x:v>Zero-relative recovery and restrictiveness require review.</x:v>
      </x:c>
      <x:c r="AA75" s="4" t="str">
        <x:v>manual guard</x:v>
      </x:c>
      <x:c r="AB75" s="16" t="str"/>
      <x:c r="AC75" s="18" t="str"/>
      <x:c r="AD75" s="18" t="str"/>
      <x:c r="AE75" s="18" t="str"/>
      <x:c r="AF75" s="20" t="str"/>
      <x:c r="AG75" s="21"/>
      <x:c r="AH75" s="22" t="str">
        <x:v>Zero-relative recovery and restrictiveness require review.</x:v>
      </x:c>
    </x:row>
    <x:row r="76">
      <x:c r="A76" s="4" t="str">
        <x:v>AUTO-SENTENCE-ELEMENT-b17bcb412d5ab8d9</x:v>
      </x:c>
      <x:c r="B76" s="4" t="str">
        <x:v>REMAP-02f7ef8302b4c2ae2ba1</x:v>
      </x:c>
      <x:c r="C76" s="4" t="str">
        <x:v>oanc-technical-biomed-1471-2199-2-12-s0057</x:v>
      </x:c>
      <x:c r="D76" s="4" t="str">
        <x:v>technical</x:v>
      </x:c>
      <x:c r="E76" s="4" t="str">
        <x:v>OANC</x:v>
      </x:c>
      <x:c r="F76" s="4" t="str">
        <x:v>intermediate</x:v>
      </x:c>
      <x:c r="G76" s="10" t="str">
        <x:v>Direct cloning of the
          RLM-RACE products followed by sequencing demonstrated
          that the major mRNA cap site in MRC5 cells is 472
          nucleotides upstream of the AUG (Fig. 2C).</x:v>
      </x:c>
      <x:c r="H76" s="10" t="str">
        <x:v>that the major mRNA cap site in MRC5 cells is 472
          nucleotides upstream of the AUG (Fig. 2C</x:v>
      </x:c>
      <x:c r="I76" s="4" t="str">
        <x:v>sentence-elements</x:v>
      </x:c>
      <x:c r="J76" s="4" t="str">
        <x:v>Sentence elements</x:v>
      </x:c>
      <x:c r="K76" s="4" t="str">
        <x:v>sentence_element</x:v>
      </x:c>
      <x:c r="L76" s="4" t="str">
        <x:v>DO — Direct Object</x:v>
      </x:c>
      <x:c r="M76" s="10" t="str">
        <x:v>DO — Direct Object
S — Subject
A + A — two Adverbials
SC — Subject Complement</x:v>
      </x:c>
      <x:c r="N76" s="10" t="str">
        <x:v>The highlighted unit is the direct object: it is directly affected by the verb.</x:v>
      </x:c>
      <x:c r="O76" s="12" t="n">
        <x:v>0.59</x:v>
      </x:c>
      <x:c r="P76" s="4" t="str">
        <x:v>en-1.0.0</x:v>
      </x:c>
      <x:c r="Q76" s="4" t="str">
        <x:v>5cee51d8a950b2e9bdf7133a6d97dcd20d2258c6fbb61e9d97b64b8e7249178d</x:v>
      </x:c>
      <x:c r="R76" s="4" t="str">
        <x:v>se.clausal.direct.object.review</x:v>
      </x:c>
      <x:c r="S76" s="4" t="str">
        <x:v>manual-review</x:v>
      </x:c>
      <x:c r="T76" s="4" t="str">
        <x:v>review</x:v>
      </x:c>
      <x:c r="U76" s="10" t="str">
        <x:v>SE-DO-04
SE-DO-05
SE-DO-06</x:v>
      </x:c>
      <x:c r="V76" s="10" t="str">
        <x:v>{"adapter_rule_id":"se-clausal-direct-object","deprels":["amod","appos","case","ccomp","compound","cop","det","flat","mark","nmod","nsubj","nummod","obl","punct"],"target_strategy":"anchor-subtree","token_ids":[13,14,15,16,17,18,19,20,21,22,23,24,25,26,27,28,29,30,31],"upos":["ADJ","ADP","AUX","DET","NOUN","NUM","PROPN","PUNCT","SCONJ"],"xpos":["-LRB-","CD","DT","IN","JJ","NN","NNP","NNS","VBZ"]}</x:v>
      </x:c>
      <x:c r="W76" s="4" t="str">
        <x:v>1.14.0</x:v>
      </x:c>
      <x:c r="X76" s="4" t="str">
        <x:v>51f32c3b4b77d2a460e8aeaeb653dbd240ad270b7f8b42110f509ff87c483711</x:v>
      </x:c>
      <x:c r="Y76" s="4" t="str">
        <x:v>needs-review</x:v>
      </x:c>
      <x:c r="Z76" s="10" t="str">
        <x:v>The matrix verb does not license an automatic clausal-DO analysis.</x:v>
      </x:c>
      <x:c r="AA76" s="4" t="str">
        <x:v>manual guard</x:v>
      </x:c>
      <x:c r="AB76" s="16" t="str"/>
      <x:c r="AC76" s="18" t="str"/>
      <x:c r="AD76" s="18" t="str"/>
      <x:c r="AE76" s="18" t="str"/>
      <x:c r="AF76" s="20" t="str"/>
      <x:c r="AG76" s="21"/>
      <x:c r="AH76" s="22" t="str">
        <x:v>The matrix verb does not license an automatic clausal-DO analysis.</x:v>
      </x:c>
    </x:row>
    <x:row r="77">
      <x:c r="A77" s="4" t="str">
        <x:v>AUTO-SENTENCE-ELEMENT-2ecfac40fcc279a8</x:v>
      </x:c>
      <x:c r="B77" s="4" t="str">
        <x:v>REMAP-b6ecd26c45e5359459fe</x:v>
      </x:c>
      <x:c r="C77" s="4" t="str">
        <x:v>masc-email-email-lists-003-2205935-s0042</x:v>
      </x:c>
      <x:c r="D77" s="4" t="str">
        <x:v>email</x:v>
      </x:c>
      <x:c r="E77" s="4" t="str">
        <x:v>MASC</x:v>
      </x:c>
      <x:c r="F77" s="4" t="str">
        <x:v>advanced</x:v>
      </x:c>
      <x:c r="G77" s="10" t="str">
        <x:v>Should we merge "presentation" and "representation" layers, split level 6
like level 2 or not assign it to any level, I'll leave the discussion to
the theoricians.</x:v>
      </x:c>
      <x:c r="H77" s="10" t="str">
        <x:v>to any level</x:v>
      </x:c>
      <x:c r="I77" s="4" t="str">
        <x:v>sentence-elements</x:v>
      </x:c>
      <x:c r="J77" s="4" t="str">
        <x:v>Sentence elements</x:v>
      </x:c>
      <x:c r="K77" s="4" t="str">
        <x:v>sentence_element</x:v>
      </x:c>
      <x:c r="L77" s="4" t="str">
        <x:v>Context needed</x:v>
      </x:c>
      <x:c r="M77" s="10" t="str">
        <x:v>Context needed
A + A — two Adverbials
Operator
DO — Direct Object</x:v>
      </x:c>
      <x:c r="N77" s="10" t="str">
        <x:v>The available sentence permits more than one defensible attachment or function, so a manual decision is required.</x:v>
      </x:c>
      <x:c r="O77" s="12" t="n">
        <x:v>0.45</x:v>
      </x:c>
      <x:c r="P77" s="4" t="str">
        <x:v>en-1.0.0</x:v>
      </x:c>
      <x:c r="Q77" s="4" t="str">
        <x:v>5cee51d8a950b2e9bdf7133a6d97dcd20d2258c6fbb61e9d97b64b8e7249178d</x:v>
      </x:c>
      <x:c r="R77" s="4" t="str">
        <x:v>se.ambiguous.pp.review.review.context-needed-pp-attachment-is-ambiguous-</x:v>
      </x:c>
      <x:c r="S77" s="4" t="str">
        <x:v>manual-review</x:v>
      </x:c>
      <x:c r="T77" s="4" t="str">
        <x:v>review</x:v>
      </x:c>
      <x:c r="U77" s="10" t="str">
        <x:v>REVIEW-01</x:v>
      </x:c>
      <x:c r="V77" s="10" t="str">
        <x:v>{"adapter_rule_id":"se-ambiguous-pp-review","deprels":["case","det","obl"],"target_strategy":"anchor-subtree","token_ids":[23,24,25],"upos":["ADP","DET","NOUN"],"xpos":["DT","IN","NN"]}</x:v>
      </x:c>
      <x:c r="W77" s="4" t="str">
        <x:v>1.14.0</x:v>
      </x:c>
      <x:c r="X77" s="4" t="str">
        <x:v>51f32c3b4b77d2a460e8aeaeb653dbd240ad270b7f8b42110f509ff87c483711</x:v>
      </x:c>
      <x:c r="Y77" s="4" t="str">
        <x:v>needs-review</x:v>
      </x:c>
      <x:c r="Z77" s="10" t="str">
        <x:v>PP attachment is ambiguous between event adverbial, nominal modifier, and selected complement.</x:v>
      </x:c>
      <x:c r="AA77" s="4" t="str">
        <x:v>manual guard</x:v>
      </x:c>
      <x:c r="AB77" s="16" t="str"/>
      <x:c r="AC77" s="18" t="str"/>
      <x:c r="AD77" s="18" t="str"/>
      <x:c r="AE77" s="18" t="str"/>
      <x:c r="AF77" s="20" t="str"/>
      <x:c r="AG77" s="21"/>
      <x:c r="AH77" s="22" t="str">
        <x:v>PP attachment is ambiguous between event adverbial, nominal modifier, and selected complement.</x:v>
      </x:c>
    </x:row>
    <x:row r="78">
      <x:c r="A78" s="4" t="str">
        <x:v>AUTO-SENTENCE-ELEMENT-ab38ad56dc8bdd74</x:v>
      </x:c>
      <x:c r="B78" s="4" t="str">
        <x:v>REMAP-7ddc2507cf17c49bc408</x:v>
      </x:c>
      <x:c r="C78" s="4" t="str">
        <x:v>masc-letters-letters-110cyl071-s0006</x:v>
      </x:c>
      <x:c r="D78" s="4" t="str">
        <x:v>letters</x:v>
      </x:c>
      <x:c r="E78" s="4" t="str">
        <x:v>MASC</x:v>
      </x:c>
      <x:c r="F78" s="4" t="str">
        <x:v>basic</x:v>
      </x:c>
      <x:c r="G78" s="10" t="str">
        <x:v>For several years he performed packaging and clerical work.</x:v>
      </x:c>
      <x:c r="H78" s="10" t="str">
        <x:v>For several years</x:v>
      </x:c>
      <x:c r="I78" s="4" t="str">
        <x:v>sentence-elements</x:v>
      </x:c>
      <x:c r="J78" s="4" t="str">
        <x:v>Sentence elements</x:v>
      </x:c>
      <x:c r="K78" s="4" t="str">
        <x:v>sentence_element</x:v>
      </x:c>
      <x:c r="L78" s="4" t="str">
        <x:v>A — Adverbial</x:v>
      </x:c>
      <x:c r="M78" s="10" t="str">
        <x:v>A — Adverbial
A + A — two Adverbials
Operator
Formal S + Postponed S</x:v>
      </x:c>
      <x:c r="N78" s="10" t="str">
        <x:v>The highlighted unit adds circumstantial information to the clause.</x:v>
      </x:c>
      <x:c r="O78" s="12" t="n">
        <x:v>0.61</x:v>
      </x:c>
      <x:c r="P78" s="4" t="str">
        <x:v>en-1.0.0</x:v>
      </x:c>
      <x:c r="Q78" s="4" t="str">
        <x:v>5cee51d8a950b2e9bdf7133a6d97dcd20d2258c6fbb61e9d97b64b8e7249178d</x:v>
      </x:c>
      <x:c r="R78" s="4" t="str">
        <x:v>se.adverbial.duration.review</x:v>
      </x:c>
      <x:c r="S78" s="4" t="str">
        <x:v>manual-review</x:v>
      </x:c>
      <x:c r="T78" s="4" t="str">
        <x:v>review</x:v>
      </x:c>
      <x:c r="U78" s="10" t="str">
        <x:v>SE-A-03</x:v>
      </x:c>
      <x:c r="V78" s="10" t="str">
        <x:v>{"adapter_rule_id":"se-adverbial-duration-review","deprels":["amod","case","obl"],"target_strategy":"anchor-subtree","token_ids":[1,2,3],"upos":["ADJ","ADP","NOUN"],"xpos":["IN","JJ","NNS"]}</x:v>
      </x:c>
      <x:c r="W78" s="4" t="str">
        <x:v>1.14.0</x:v>
      </x:c>
      <x:c r="X78" s="4" t="str">
        <x:v>51f32c3b4b77d2a460e8aeaeb653dbd240ad270b7f8b42110f509ff87c483711</x:v>
      </x:c>
      <x:c r="Y78" s="4" t="str">
        <x:v>needs-review</x:v>
      </x:c>
      <x:c r="Z78" s="10" t="str">
        <x:v>Duration noun phrases receive variable technical analyses and require confirmation as pedagogical A.</x:v>
      </x:c>
      <x:c r="AA78" s="4" t="str">
        <x:v>manual guard</x:v>
      </x:c>
      <x:c r="AB78" s="16" t="str"/>
      <x:c r="AC78" s="18" t="str"/>
      <x:c r="AD78" s="18" t="str"/>
      <x:c r="AE78" s="18" t="str"/>
      <x:c r="AF78" s="20" t="str"/>
      <x:c r="AG78" s="21"/>
      <x:c r="AH78" s="22" t="str">
        <x:v>Duration noun phrases receive variable technical analyses and require confirmation as pedagogical A.</x:v>
      </x:c>
    </x:row>
    <x:row r="79">
      <x:c r="A79" s="4" t="str">
        <x:v>AUTO-CLAUSE-FUNCTION-3ed9989a8348e996</x:v>
      </x:c>
      <x:c r="B79" s="4" t="str">
        <x:v>REMAP-afb68fc3974f30258b1f</x:v>
      </x:c>
      <x:c r="C79" s="4" t="str">
        <x:v>masc-movie-script-movie-script-jurassicparkiv-scene-5-s0363</x:v>
      </x:c>
      <x:c r="D79" s="4" t="str">
        <x:v>movie-script</x:v>
      </x:c>
      <x:c r="E79" s="4" t="str">
        <x:v>MASC</x:v>
      </x:c>
      <x:c r="F79" s="4" t="str">
        <x:v>basic</x:v>
      </x:c>
      <x:c r="G79" s="10" t="str">
        <x:v>Of course I am, provided I get my things
back.</x:v>
      </x:c>
      <x:c r="H79" s="10" t="str">
        <x:v>I get my things
back</x:v>
      </x:c>
      <x:c r="I79" s="4" t="str">
        <x:v>clauses</x:v>
      </x:c>
      <x:c r="J79" s="4" t="str">
        <x:v>Clause function</x:v>
      </x:c>
      <x:c r="K79" s="4" t="str">
        <x:v>clause_function</x:v>
      </x:c>
      <x:c r="L79" s="4" t="str">
        <x:v>DO — Direct Object</x:v>
      </x:c>
      <x:c r="M79" s="10" t="str">
        <x:v>DO — Direct Object
A — Adverbial
PostM — Postmodifier
S — Subject</x:v>
      </x:c>
      <x:c r="N79" s="10" t="str">
        <x:v>The highlighted clause functions as the direct object of the higher verb.</x:v>
      </x:c>
      <x:c r="O79" s="12" t="n">
        <x:v>0.58</x:v>
      </x:c>
      <x:c r="P79" s="4" t="str">
        <x:v>en-1.0.0</x:v>
      </x:c>
      <x:c r="Q79" s="4" t="str">
        <x:v>5cee51d8a950b2e9bdf7133a6d97dcd20d2258c6fbb61e9d97b64b8e7249178d</x:v>
      </x:c>
      <x:c r="R79" s="4" t="str">
        <x:v>function.clause.direct.object.review.do-direct-object-the-higher-clause-functio</x:v>
      </x:c>
      <x:c r="S79" s="4" t="str">
        <x:v>manual-review</x:v>
      </x:c>
      <x:c r="T79" s="4" t="str">
        <x:v>review</x:v>
      </x:c>
      <x:c r="U79" s="10" t="str">
        <x:v>CL-FUNC-02</x:v>
      </x:c>
      <x:c r="V79" s="10" t="str">
        <x:v>{"adapter_rule_id":"function-clause-direct-object","deprels":["advmod","ccomp","nmod:poss","nsubj","obj"],"target_strategy":"clause-subtree","token_ids":[7,8,9,10,11],"upos":["ADV","NOUN","PRON","VERB"],"xpos":["NNS","PRP","PRP$","RB","VBP"]}</x:v>
      </x:c>
      <x:c r="W79" s="4" t="str">
        <x:v>1.14.0</x:v>
      </x:c>
      <x:c r="X79" s="4" t="str">
        <x:v>51f32c3b4b77d2a460e8aeaeb653dbd240ad270b7f8b42110f509ff87c483711</x:v>
      </x:c>
      <x:c r="Y79" s="4" t="str">
        <x:v>needs-review</x:v>
      </x:c>
      <x:c r="Z79" s="10" t="str">
        <x:v>The higher-clause function depends on the matrix predicate.</x:v>
      </x:c>
      <x:c r="AA79" s="4" t="str">
        <x:v>manual guard</x:v>
      </x:c>
      <x:c r="AB79" s="16" t="str"/>
      <x:c r="AC79" s="18" t="str"/>
      <x:c r="AD79" s="18" t="str"/>
      <x:c r="AE79" s="18" t="str"/>
      <x:c r="AF79" s="20" t="str"/>
      <x:c r="AG79" s="21"/>
      <x:c r="AH79" s="22" t="str">
        <x:v>The higher-clause function depends on the matrix predicate.</x:v>
      </x:c>
    </x:row>
    <x:row r="80">
      <x:c r="A80" s="4" t="str">
        <x:v>AUTO-CLAUSE-TYPE-7677a927ee703893</x:v>
      </x:c>
      <x:c r="B80" s="4" t="str">
        <x:v>REMAP-469f68b9659897aaedb5</x:v>
      </x:c>
      <x:c r="C80" s="4" t="str">
        <x:v>masc-letters-letters-appalachian1-s0049</x:v>
      </x:c>
      <x:c r="D80" s="4" t="str">
        <x:v>letters</x:v>
      </x:c>
      <x:c r="E80" s="4" t="str">
        <x:v>MASC</x:v>
      </x:c>
      <x:c r="F80" s="4" t="str">
        <x:v>intermediate</x:v>
      </x:c>
      <x:c r="G80" s="10" t="str">
        <x:v>Why not come horseback riding with AMC in the Catskills—exploring the foothills and spending the night at a campsite?</x:v>
      </x:c>
      <x:c r="H80" s="10" t="str">
        <x:v>exploring the foothills and spending the night at a campsite</x:v>
      </x:c>
      <x:c r="I80" s="4" t="str">
        <x:v>clauses</x:v>
      </x:c>
      <x:c r="J80" s="4" t="str">
        <x:v>Clause type</x:v>
      </x:c>
      <x:c r="K80" s="4" t="str">
        <x:v>clause_type</x:v>
      </x:c>
      <x:c r="L80" s="4" t="str">
        <x:v>Supplementive non-finite clause — function: A</x:v>
      </x:c>
      <x:c r="M80" s="10" t="str">
        <x:v>Supplementive non-finite clause — function: A
Dependent verbal question — function: S
Main clause
Concessive adverbial clause</x:v>
      </x:c>
      <x:c r="N80" s="10" t="str">
        <x:v>The highlighted non-finite supplementive clause functions as an adverbial.</x:v>
      </x:c>
      <x:c r="O80" s="12" t="n">
        <x:v>0.61</x:v>
      </x:c>
      <x:c r="P80" s="4" t="str">
        <x:v>en-1.0.0</x:v>
      </x:c>
      <x:c r="Q80" s="4" t="str">
        <x:v>5cee51d8a950b2e9bdf7133a6d97dcd20d2258c6fbb61e9d97b64b8e7249178d</x:v>
      </x:c>
      <x:c r="R80" s="4" t="str">
        <x:v>clause.supplementive.review</x:v>
      </x:c>
      <x:c r="S80" s="4" t="str">
        <x:v>manual-review</x:v>
      </x:c>
      <x:c r="T80" s="4" t="str">
        <x:v>review</x:v>
      </x:c>
      <x:c r="U80" s="10" t="str">
        <x:v>CL-ADV-11</x:v>
      </x:c>
      <x:c r="V80" s="10" t="str">
        <x:v>{"adapter_rule_id":"clause-supplementive-review","deprels":["advcl","case","cc","conj","det","obj","obl"],"target_strategy":"clause-subtree","token_ids":[12,13,14,15,16,17,18,19,20,21],"upos":["ADP","CCONJ","DET","NOUN","VERB"],"xpos":["CC","DT","IN","NN","NNS","VBG"]}</x:v>
      </x:c>
      <x:c r="W80" s="4" t="str">
        <x:v>1.14.0</x:v>
      </x:c>
      <x:c r="X80" s="4" t="str">
        <x:v>51f32c3b4b77d2a460e8aeaeb653dbd240ad270b7f8b42110f509ff87c483711</x:v>
      </x:c>
      <x:c r="Y80" s="4" t="str">
        <x:v>needs-review</x:v>
      </x:c>
      <x:c r="Z80" s="10" t="str">
        <x:v>The supplementive function is structurally plausible, but its semantic subtype requires review.</x:v>
      </x:c>
      <x:c r="AA80" s="4" t="str">
        <x:v>manual guard</x:v>
      </x:c>
      <x:c r="AB80" s="16" t="str"/>
      <x:c r="AC80" s="18" t="str"/>
      <x:c r="AD80" s="18" t="str"/>
      <x:c r="AE80" s="18" t="str"/>
      <x:c r="AF80" s="20" t="str"/>
      <x:c r="AG80" s="21"/>
      <x:c r="AH80" s="22" t="str">
        <x:v>The supplementive function is structurally plausible, but its semantic subtype requires review.</x:v>
      </x:c>
    </x:row>
    <x:row r="81">
      <x:c r="A81" s="4" t="str">
        <x:v>AUTO-CLAUSE-FUNCTION-e241542093e5adce</x:v>
      </x:c>
      <x:c r="B81" s="4" t="str">
        <x:v>REMAP-a54d91cbcfb21d035eb4</x:v>
      </x:c>
      <x:c r="C81" s="4" t="str">
        <x:v>masc-newspaper-newspaper-nytnewswire6-s0022</x:v>
      </x:c>
      <x:c r="D81" s="4" t="str">
        <x:v>newspaper</x:v>
      </x:c>
      <x:c r="E81" s="4" t="str">
        <x:v>MASC</x:v>
      </x:c>
      <x:c r="F81" s="4" t="str">
        <x:v>intermediate</x:v>
      </x:c>
      <x:c r="G81" s="10" t="str">
        <x:v>So she can once again go shopping, buying whatever seems best
on any given day.</x:v>
      </x:c>
      <x:c r="H81" s="10" t="str">
        <x:v>whatever seems best
on any given day</x:v>
      </x:c>
      <x:c r="I81" s="4" t="str">
        <x:v>clauses</x:v>
      </x:c>
      <x:c r="J81" s="4" t="str">
        <x:v>Clause function</x:v>
      </x:c>
      <x:c r="K81" s="4" t="str">
        <x:v>clause_function</x:v>
      </x:c>
      <x:c r="L81" s="4" t="str">
        <x:v>DO — Direct Object</x:v>
      </x:c>
      <x:c r="M81" s="10" t="str">
        <x:v>DO — Direct Object
A — Adverbial
S — Subject
PostM — Postmodifier</x:v>
      </x:c>
      <x:c r="N81" s="10" t="str">
        <x:v>The highlighted clause functions as the direct object of the higher verb.</x:v>
      </x:c>
      <x:c r="O81" s="12" t="n">
        <x:v>0.58</x:v>
      </x:c>
      <x:c r="P81" s="4" t="str">
        <x:v>en-1.0.0</x:v>
      </x:c>
      <x:c r="Q81" s="4" t="str">
        <x:v>5cee51d8a950b2e9bdf7133a6d97dcd20d2258c6fbb61e9d97b64b8e7249178d</x:v>
      </x:c>
      <x:c r="R81" s="4" t="str">
        <x:v>function.clause.direct.object.review.do-direct-object-a-non-subject-fused-relat</x:v>
      </x:c>
      <x:c r="S81" s="4" t="str">
        <x:v>manual-review</x:v>
      </x:c>
      <x:c r="T81" s="4" t="str">
        <x:v>review</x:v>
      </x:c>
      <x:c r="U81" s="10" t="str">
        <x:v>CL-FUNC-02</x:v>
      </x:c>
      <x:c r="V81" s="10" t="str">
        <x:v>{"adapter_rule_id":"function-clause-direct-object","deprels":["acl:relcl","amod","case","det","obj","obl","xcomp"],"target_strategy":"clause-subtree","token_ids":[10,11,12,13,14,15,16],"upos":["ADJ","ADP","DET","NOUN","PRON","VERB"],"xpos":["DT","IN","JJS","NN","VBN","VBZ","WP"]}</x:v>
      </x:c>
      <x:c r="W81" s="4" t="str">
        <x:v>1.14.0</x:v>
      </x:c>
      <x:c r="X81" s="4" t="str">
        <x:v>51f32c3b4b77d2a460e8aeaeb653dbd240ad270b7f8b42110f509ff87c483711</x:v>
      </x:c>
      <x:c r="Y81" s="4" t="str">
        <x:v>needs-review</x:v>
      </x:c>
      <x:c r="Z81" s="10" t="str">
        <x:v>A non-subject fused relative requires contextual confirmation of its higher-clause function.</x:v>
      </x:c>
      <x:c r="AA81" s="4" t="str">
        <x:v>manual guard</x:v>
      </x:c>
      <x:c r="AB81" s="16" t="str"/>
      <x:c r="AC81" s="18" t="str"/>
      <x:c r="AD81" s="18" t="str"/>
      <x:c r="AE81" s="18" t="str"/>
      <x:c r="AF81" s="20" t="str"/>
      <x:c r="AG81" s="21"/>
      <x:c r="AH81" s="22" t="str">
        <x:v>A non-subject fused relative requires contextual confirmation of its higher-clause function.</x:v>
      </x:c>
    </x:row>
    <x:row r="82">
      <x:c r="A82" s="4" t="str">
        <x:v>AUTO-CLAUSE-TYPE-40822578176ab5a5</x:v>
      </x:c>
      <x:c r="B82" s="4" t="str">
        <x:v>REMAP-16088cd0946e3dd2c395</x:v>
      </x:c>
      <x:c r="C82" s="4" t="str">
        <x:v>masc-letters-letters-audubon1-s0014</x:v>
      </x:c>
      <x:c r="D82" s="4" t="str">
        <x:v>letters</x:v>
      </x:c>
      <x:c r="E82" s="4" t="str">
        <x:v>MASC</x:v>
      </x:c>
      <x:c r="F82" s="4" t="str">
        <x:v>advanced</x:v>
      </x:c>
      <x:c r="G82" s="10" t="str">
        <x:v>And if the death of two million birds doesn’t “prove” their theory -- and show a reduction in crop loss -- they’ll likely seek the right to kill even more birds the next year!</x:v>
      </x:c>
      <x:c r="H82" s="10" t="str">
        <x:v>And … they’ll likely seek the right</x:v>
      </x:c>
      <x:c r="I82" s="4" t="str">
        <x:v>clauses</x:v>
      </x:c>
      <x:c r="J82" s="4" t="str">
        <x:v>Clause type</x:v>
      </x:c>
      <x:c r="K82" s="4" t="str">
        <x:v>clause_type</x:v>
      </x:c>
      <x:c r="L82" s="4" t="str">
        <x:v>Main clause</x:v>
      </x:c>
      <x:c r="M82" s="10" t="str">
        <x:v>Main clause
Comparative clause — postmodifier of an adjective
Nominal clause — postmodifier of an adjective
Manner / comparison adverbial clause</x:v>
      </x:c>
      <x:c r="N82" s="10" t="str">
        <x:v>The highlighted clause is the independent main clause of the sentence.</x:v>
      </x:c>
      <x:c r="O82" s="12" t="n">
        <x:v>0.58</x:v>
      </x:c>
      <x:c r="P82" s="4" t="str">
        <x:v>en-1.0.0</x:v>
      </x:c>
      <x:c r="Q82" s="4" t="str">
        <x:v>5cee51d8a950b2e9bdf7133a6d97dcd20d2258c6fbb61e9d97b64b8e7249178d</x:v>
      </x:c>
      <x:c r="R82" s="4" t="str">
        <x:v>clause.main.complex.review</x:v>
      </x:c>
      <x:c r="S82" s="4" t="str">
        <x:v>manual-review</x:v>
      </x:c>
      <x:c r="T82" s="4" t="str">
        <x:v>review</x:v>
      </x:c>
      <x:c r="U82" s="10" t="str">
        <x:v>CL-MAIN-01</x:v>
      </x:c>
      <x:c r="V82" s="10" t="str">
        <x:v>{"adapter_rule_id":"clause-main-complex-review","deprels":["advmod","aux","cc","det","nsubj","obj","root"],"target_strategy":"clause-subtree","token_ids":[1,25,26,27,28,29,30],"upos":["ADV","AUX","CCONJ","DET","NOUN","PRON","VERB"],"xpos":["CC","DT","MD","NN","PRP","RB","VB"]}</x:v>
      </x:c>
      <x:c r="W82" s="4" t="str">
        <x:v>1.14.0</x:v>
      </x:c>
      <x:c r="X82" s="4" t="str">
        <x:v>51f32c3b4b77d2a460e8aeaeb653dbd240ad270b7f8b42110f509ff87c483711</x:v>
      </x:c>
      <x:c r="Y82" s="4" t="str">
        <x:v>needs-review</x:v>
      </x:c>
      <x:c r="Z82" s="10" t="str">
        <x:v>Nested clause boundaries make the matrix clause discontinuous; confirm the teaching highlight.</x:v>
      </x:c>
      <x:c r="AA82" s="4" t="str">
        <x:v>manual guard</x:v>
      </x:c>
      <x:c r="AB82" s="16" t="str"/>
      <x:c r="AC82" s="18" t="str"/>
      <x:c r="AD82" s="18" t="str"/>
      <x:c r="AE82" s="18" t="str"/>
      <x:c r="AF82" s="20" t="str"/>
      <x:c r="AG82" s="21"/>
      <x:c r="AH82" s="22" t="str">
        <x:v>Nested clause boundaries make the matrix clause discontinuous; confirm the teaching highlight.</x:v>
      </x:c>
    </x:row>
    <x:row r="83">
      <x:c r="A83" s="4" t="str">
        <x:v>AUTO-SENTENCE-ELEMENT-d801db1a426e1ef9</x:v>
      </x:c>
      <x:c r="B83" s="4" t="str">
        <x:v>REMAP-dc1ceb2c4ae8be42a6da</x:v>
      </x:c>
      <x:c r="C83" s="4" t="str">
        <x:v>masc-technical-technical-1468-6708-3-3-s0011</x:v>
      </x:c>
      <x:c r="D83" s="4" t="str">
        <x:v>technical</x:v>
      </x:c>
      <x:c r="E83" s="4" t="str">
        <x:v>MASC</x:v>
      </x:c>
      <x:c r="F83" s="4" t="str">
        <x:v>intermediate</x:v>
      </x:c>
      <x:c r="G83" s="10" t="str">
        <x:v>On average, patients were 65 years of age,
        approximately 65% were men, 86% Caucasian and the mean
        baseline low density lipoprotein (LDL) cholesterol level
        was 124 mg/dL.</x:v>
      </x:c>
      <x:c r="H83" s="10" t="str">
        <x:v>On average … 65 years of age … and … 124 mg/dL</x:v>
      </x:c>
      <x:c r="I83" s="4" t="str">
        <x:v>sentence-elements</x:v>
      </x:c>
      <x:c r="J83" s="4" t="str">
        <x:v>Sentence elements</x:v>
      </x:c>
      <x:c r="K83" s="4" t="str">
        <x:v>sentence_element</x:v>
      </x:c>
      <x:c r="L83" s="4" t="str">
        <x:v>SC — Subject Complement</x:v>
      </x:c>
      <x:c r="M83" s="10" t="str">
        <x:v>SC — Subject Complement
A — Adverbial
IO — Indirect Object
Context needed</x:v>
      </x:c>
      <x:c r="N83" s="10" t="str">
        <x:v>The highlighted unit completes the description or identification of the subject.</x:v>
      </x:c>
      <x:c r="O83" s="12" t="n">
        <x:v>0.62</x:v>
      </x:c>
      <x:c r="P83" s="4" t="str">
        <x:v>en-1.0.0</x:v>
      </x:c>
      <x:c r="Q83" s="4" t="str">
        <x:v>5cee51d8a950b2e9bdf7133a6d97dcd20d2258c6fbb61e9d97b64b8e7249178d</x:v>
      </x:c>
      <x:c r="R83" s="4" t="str">
        <x:v>se.copular.temporal.review</x:v>
      </x:c>
      <x:c r="S83" s="4" t="str">
        <x:v>manual-review</x:v>
      </x:c>
      <x:c r="T83" s="4" t="str">
        <x:v>review</x:v>
      </x:c>
      <x:c r="U83" s="10" t="str">
        <x:v>REVIEW-02</x:v>
      </x:c>
      <x:c r="V83" s="10" t="str">
        <x:v>{"adapter_rule_id":"se-copular-temporal-review","deprels":["case","cc","conj","nmod","nummod","obl","obl:unmarked","root"],"target_strategy":"anchor-subtree","token_ids":[1,2,6,7,8,9,20,33,34,35],"upos":["ADP","CCONJ","NOUN","NUM"],"xpos":["CC","CD","IN","NN","NNS"]}</x:v>
      </x:c>
      <x:c r="W83" s="4" t="str">
        <x:v>1.14.0</x:v>
      </x:c>
      <x:c r="X83" s="4" t="str">
        <x:v>51f32c3b4b77d2a460e8aeaeb653dbd240ad270b7f8b42110f509ff87c483711</x:v>
      </x:c>
      <x:c r="Y83" s="4" t="str">
        <x:v>needs-review</x:v>
      </x:c>
      <x:c r="Z83" s="10" t="str">
        <x:v>A temporal expression after copular be can be analysed as SC or A; the reviewed framework requires confirmation.</x:v>
      </x:c>
      <x:c r="AA83" s="4" t="str">
        <x:v>manual guard</x:v>
      </x:c>
      <x:c r="AB83" s="16" t="str"/>
      <x:c r="AC83" s="18" t="str"/>
      <x:c r="AD83" s="18" t="str"/>
      <x:c r="AE83" s="18" t="str"/>
      <x:c r="AF83" s="20" t="str"/>
      <x:c r="AG83" s="21"/>
      <x:c r="AH83" s="22" t="str">
        <x:v>A temporal expression after copular be can be analysed as SC or A; the reviewed framework requires confirmation.</x:v>
      </x:c>
    </x:row>
    <x:row r="84">
      <x:c r="A84" s="4" t="str">
        <x:v>AUTO-CLAUSE-TYPE-558c44b60b2cf808</x:v>
      </x:c>
      <x:c r="B84" s="4" t="str">
        <x:v>REMAP-9b814684dc4e5276435c</x:v>
      </x:c>
      <x:c r="C84" s="4" t="str">
        <x:v>masc-technical-technical-pmed-0010029-s0011</x:v>
      </x:c>
      <x:c r="D84" s="4" t="str">
        <x:v>technical</x:v>
      </x:c>
      <x:c r="E84" s="4" t="str">
        <x:v>MASC</x:v>
      </x:c>
      <x:c r="F84" s="4" t="str">
        <x:v>advanced</x:v>
      </x:c>
      <x:c r="G84" s="10" t="str">
        <x:v>For being underweight in childhood, for example—the leading risk
        factor for global loss of healthy life—they found that only 35% of the disease burden
        occurred in severely underweight children, the rest occurred in those only moderately
        underweight.</x:v>
      </x:c>
      <x:c r="H84" s="10" t="str">
        <x:v>For being underweight in childhood</x:v>
      </x:c>
      <x:c r="I84" s="4" t="str">
        <x:v>clauses</x:v>
      </x:c>
      <x:c r="J84" s="4" t="str">
        <x:v>Clause type</x:v>
      </x:c>
      <x:c r="K84" s="4" t="str">
        <x:v>clause_type</x:v>
      </x:c>
      <x:c r="L84" s="4" t="str">
        <x:v>Adverbial clause — function: A</x:v>
      </x:c>
      <x:c r="M84" s="10" t="str">
        <x:v>Adverbial clause — function: A
Main clause
Appositive clause
Non-restrictive relative clause — function: PostM</x:v>
      </x:c>
      <x:c r="N84" s="10" t="str">
        <x:v>The highlighted clause functions as an adverbial in the larger sentence.</x:v>
      </x:c>
      <x:c r="O84" s="12" t="n">
        <x:v>0.59</x:v>
      </x:c>
      <x:c r="P84" s="4" t="str">
        <x:v>en-1.0.0</x:v>
      </x:c>
      <x:c r="Q84" s="4" t="str">
        <x:v>5cee51d8a950b2e9bdf7133a6d97dcd20d2258c6fbb61e9d97b64b8e7249178d</x:v>
      </x:c>
      <x:c r="R84" s="4" t="str">
        <x:v>clause.generic.adverbial.review</x:v>
      </x:c>
      <x:c r="S84" s="4" t="str">
        <x:v>manual-review</x:v>
      </x:c>
      <x:c r="T84" s="4" t="str">
        <x:v>review</x:v>
      </x:c>
      <x:c r="U84" s="10" t="str">
        <x:v>CL-ADV-14
CL-ADV-15</x:v>
      </x:c>
      <x:c r="V84" s="10" t="str">
        <x:v>{"adapter_rule_id":"clause-generic-adverbial","deprels":["advcl","case","cop","mark","obl"],"target_strategy":"clause-subtree","token_ids":[1,2,3,4,5],"upos":["ADJ","ADP","AUX","NOUN","SCONJ"],"xpos":["IN","JJ","NN","VBG"]}</x:v>
      </x:c>
      <x:c r="W84" s="4" t="str">
        <x:v>1.14.0</x:v>
      </x:c>
      <x:c r="X84" s="4" t="str">
        <x:v>51f32c3b4b77d2a460e8aeaeb653dbd240ad270b7f8b42110f509ff87c483711</x:v>
      </x:c>
      <x:c r="Y84" s="4" t="str">
        <x:v>needs-review</x:v>
      </x:c>
      <x:c r="Z84" s="10" t="str">
        <x:v>The reduced clause lacks an overt finite verb and requires manual confirmation.</x:v>
      </x:c>
      <x:c r="AA84" s="4" t="str">
        <x:v>manual guard</x:v>
      </x:c>
      <x:c r="AB84" s="16" t="str"/>
      <x:c r="AC84" s="18" t="str"/>
      <x:c r="AD84" s="18" t="str"/>
      <x:c r="AE84" s="18" t="str"/>
      <x:c r="AF84" s="20" t="str"/>
      <x:c r="AG84" s="21"/>
      <x:c r="AH84" s="22" t="str">
        <x:v>The reduced clause lacks an overt finite verb and requires manual confirmation.</x:v>
      </x:c>
    </x:row>
    <x:row r="85">
      <x:c r="A85" s="4" t="str">
        <x:v>AUTO-CLAUSE-FUNCTION-5a3fefd7756feb06</x:v>
      </x:c>
      <x:c r="B85" s="4" t="str">
        <x:v>REMAP-ef527228e3e449aa7718</x:v>
      </x:c>
      <x:c r="C85" s="4" t="str">
        <x:v>masc-blog-blog-tupelo-honey-cafe-s0027</x:v>
      </x:c>
      <x:c r="D85" s="4" t="str">
        <x:v>blog</x:v>
      </x:c>
      <x:c r="E85" s="4" t="str">
        <x:v>MASC</x:v>
      </x:c>
      <x:c r="F85" s="4" t="str">
        <x:v>intermediate</x:v>
      </x:c>
      <x:c r="G85" s="10" t="str">
        <x:v>That sandwich was so good, I found myself eating slower and slower with each bite
to savor it more completely.</x:v>
      </x:c>
      <x:c r="H85" s="10" t="str">
        <x:v>eating slower and slower with each bite
to savor it more completely</x:v>
      </x:c>
      <x:c r="I85" s="4" t="str">
        <x:v>clauses</x:v>
      </x:c>
      <x:c r="J85" s="4" t="str">
        <x:v>Clause function</x:v>
      </x:c>
      <x:c r="K85" s="4" t="str">
        <x:v>clause_function</x:v>
      </x:c>
      <x:c r="L85" s="4" t="str">
        <x:v>OC / Clausal object</x:v>
      </x:c>
      <x:c r="M85" s="10" t="str">
        <x:v>OC / Clausal object
S — Subject
SC — Subject Complement
DO — Direct Object</x:v>
      </x:c>
      <x:c r="N85" s="10" t="str">
        <x:v>The highlighted non-finite clause requires the course analysis used for object complementation.</x:v>
      </x:c>
      <x:c r="O85" s="12" t="n">
        <x:v>0.6</x:v>
      </x:c>
      <x:c r="P85" s="4" t="str">
        <x:v>en-1.0.0</x:v>
      </x:c>
      <x:c r="Q85" s="4" t="str">
        <x:v>5cee51d8a950b2e9bdf7133a6d97dcd20d2258c6fbb61e9d97b64b8e7249178d</x:v>
      </x:c>
      <x:c r="R85" s="4" t="str">
        <x:v>function.clause.object.complement.review.review.oc-clausal-object-the-non-finite-clause-ca</x:v>
      </x:c>
      <x:c r="S85" s="4" t="str">
        <x:v>manual-review</x:v>
      </x:c>
      <x:c r="T85" s="4" t="str">
        <x:v>review</x:v>
      </x:c>
      <x:c r="U85" s="10" t="str">
        <x:v>CL-FUNC-06</x:v>
      </x:c>
      <x:c r="V85" s="10" t="str">
        <x:v>{"adapter_rule_id":"function-clause-object-complement-review","deprels":["advcl","advmod","case","cc","conj","det","mark","nsubj","obj","xcomp"],"target_strategy":"clause-subtree","token_ids":[10,11,12,13,14,15,16,17,18,19,20,21],"upos":["ADJ","ADP","ADV","CCONJ","DET","NOUN","PART","PRON","VERB"],"xpos":["CC","DT","IN","JJR","NN","PRP","RB","RBR","TO","VB","VBG"]}</x:v>
      </x:c>
      <x:c r="W85" s="4" t="str">
        <x:v>1.14.0</x:v>
      </x:c>
      <x:c r="X85" s="4" t="str">
        <x:v>51f32c3b4b77d2a460e8aeaeb653dbd240ad270b7f8b42110f509ff87c483711</x:v>
      </x:c>
      <x:c r="Y85" s="4" t="str">
        <x:v>needs-review</x:v>
      </x:c>
      <x:c r="Z85" s="10" t="str">
        <x:v>The non-finite clause can be analysed as OC or a clausal object depending on the teaching convention.</x:v>
      </x:c>
      <x:c r="AA85" s="4" t="str">
        <x:v>manual guard</x:v>
      </x:c>
      <x:c r="AB85" s="16" t="str"/>
      <x:c r="AC85" s="18" t="str"/>
      <x:c r="AD85" s="18" t="str"/>
      <x:c r="AE85" s="18" t="str"/>
      <x:c r="AF85" s="20" t="str"/>
      <x:c r="AG85" s="21"/>
      <x:c r="AH85" s="22" t="str">
        <x:v>The non-finite clause can be analysed as OC or a clausal object depending on the teaching convention.</x:v>
      </x:c>
    </x:row>
    <x:row r="86">
      <x:c r="A86" s="4" t="str">
        <x:v>AUTO-CLAUSE-TYPE-a216c12e1aa4902c</x:v>
      </x:c>
      <x:c r="B86" s="4" t="str">
        <x:v>REMAP-098224277a11ad070d1f</x:v>
      </x:c>
      <x:c r="C86" s="4" t="str">
        <x:v>masc-email-email-lists-046-12146425-s0009</x:v>
      </x:c>
      <x:c r="D86" s="4" t="str">
        <x:v>email</x:v>
      </x:c>
      <x:c r="E86" s="4" t="str">
        <x:v>MASC</x:v>
      </x:c>
      <x:c r="F86" s="4" t="str">
        <x:v>basic</x:v>
      </x:c>
      <x:c r="G86" s="10" t="str">
        <x:v>This effort, in some sense competing with Roy Pike's,
seems very healthy to me.</x:v>
      </x:c>
      <x:c r="H86" s="10" t="str">
        <x:v>This effort, in some sense … seems very healthy to me</x:v>
      </x:c>
      <x:c r="I86" s="4" t="str">
        <x:v>clauses</x:v>
      </x:c>
      <x:c r="J86" s="4" t="str">
        <x:v>Clause type</x:v>
      </x:c>
      <x:c r="K86" s="4" t="str">
        <x:v>clause_type</x:v>
      </x:c>
      <x:c r="L86" s="4" t="str">
        <x:v>Main clause</x:v>
      </x:c>
      <x:c r="M86" s="10" t="str">
        <x:v>Main clause
Place / free-choice adverbial clause
Non-restrictive relative clause — function: PostM
Negative-conditional adverbial clause</x:v>
      </x:c>
      <x:c r="N86" s="10" t="str">
        <x:v>The highlighted clause is the independent main clause of the sentence.</x:v>
      </x:c>
      <x:c r="O86" s="12" t="n">
        <x:v>0.58</x:v>
      </x:c>
      <x:c r="P86" s="4" t="str">
        <x:v>en-1.0.0</x:v>
      </x:c>
      <x:c r="Q86" s="4" t="str">
        <x:v>5cee51d8a950b2e9bdf7133a6d97dcd20d2258c6fbb61e9d97b64b8e7249178d</x:v>
      </x:c>
      <x:c r="R86" s="4" t="str">
        <x:v>clause.main.complex.review</x:v>
      </x:c>
      <x:c r="S86" s="4" t="str">
        <x:v>manual-review</x:v>
      </x:c>
      <x:c r="T86" s="4" t="str">
        <x:v>review</x:v>
      </x:c>
      <x:c r="U86" s="10" t="str">
        <x:v>CL-MAIN-01</x:v>
      </x:c>
      <x:c r="V86" s="10" t="str">
        <x:v>{"adapter_rule_id":"clause-main-complex-review","deprels":["advmod","case","det","nsubj","obl","punct","root","xcomp"],"target_strategy":"clause-subtree","token_ids":[1,2,3,4,5,6,13,14,15,16,17],"upos":["ADJ","ADP","ADV","DET","NOUN","PRON","PUNCT","VERB"],"xpos":[",","DT","IN","JJ","NN","PRP","RB","VBZ"]}</x:v>
      </x:c>
      <x:c r="W86" s="4" t="str">
        <x:v>1.14.0</x:v>
      </x:c>
      <x:c r="X86" s="4" t="str">
        <x:v>51f32c3b4b77d2a460e8aeaeb653dbd240ad270b7f8b42110f509ff87c483711</x:v>
      </x:c>
      <x:c r="Y86" s="4" t="str">
        <x:v>needs-review</x:v>
      </x:c>
      <x:c r="Z86" s="10" t="str">
        <x:v>Nested clause boundaries make the matrix clause discontinuous; confirm the teaching highlight.</x:v>
      </x:c>
      <x:c r="AA86" s="4" t="str">
        <x:v>manual guard</x:v>
      </x:c>
      <x:c r="AB86" s="16" t="str"/>
      <x:c r="AC86" s="18" t="str"/>
      <x:c r="AD86" s="18" t="str"/>
      <x:c r="AE86" s="18" t="str"/>
      <x:c r="AF86" s="20" t="str"/>
      <x:c r="AG86" s="21"/>
      <x:c r="AH86" s="22" t="str">
        <x:v>Nested clause boundaries make the matrix clause discontinuous; confirm the teaching highlight.</x:v>
      </x:c>
    </x:row>
    <x:row r="87">
      <x:c r="A87" s="4" t="str">
        <x:v>AUTO-SENTENCE-ELEMENT-b77f0588e5c1571f</x:v>
      </x:c>
      <x:c r="B87" s="4" t="str">
        <x:v>REMAP-c28fa5aaeb180d8c7210</x:v>
      </x:c>
      <x:c r="C87" s="4" t="str">
        <x:v>masc-nonfiction-nonfiction-cup2-s0107</x:v>
      </x:c>
      <x:c r="D87" s="4" t="str">
        <x:v>nonfiction</x:v>
      </x:c>
      <x:c r="E87" s="4" t="str">
        <x:v>MASC</x:v>
      </x:c>
      <x:c r="F87" s="4" t="str">
        <x:v>basic</x:v>
      </x:c>
      <x:c r="G87" s="10" t="str">
        <x:v>People build their own competence by active membership in the larger learning community.</x:v>
      </x:c>
      <x:c r="H87" s="10" t="str">
        <x:v>by active membership in the larger learning community</x:v>
      </x:c>
      <x:c r="I87" s="4" t="str">
        <x:v>sentence-elements</x:v>
      </x:c>
      <x:c r="J87" s="4" t="str">
        <x:v>Sentence elements</x:v>
      </x:c>
      <x:c r="K87" s="4" t="str">
        <x:v>sentence_element</x:v>
      </x:c>
      <x:c r="L87" s="4" t="str">
        <x:v>Context needed</x:v>
      </x:c>
      <x:c r="M87" s="10" t="str">
        <x:v>Context needed
P — Predicator
SC — Subject Complement
DO — Direct Object</x:v>
      </x:c>
      <x:c r="N87" s="10" t="str">
        <x:v>The available sentence permits more than one defensible attachment or function, so a manual decision is required.</x:v>
      </x:c>
      <x:c r="O87" s="12" t="n">
        <x:v>0.45</x:v>
      </x:c>
      <x:c r="P87" s="4" t="str">
        <x:v>en-1.0.0</x:v>
      </x:c>
      <x:c r="Q87" s="4" t="str">
        <x:v>5cee51d8a950b2e9bdf7133a6d97dcd20d2258c6fbb61e9d97b64b8e7249178d</x:v>
      </x:c>
      <x:c r="R87" s="4" t="str">
        <x:v>se.ambiguous.pp.review.review.context-needed-pp-attachment-is-ambiguous-</x:v>
      </x:c>
      <x:c r="S87" s="4" t="str">
        <x:v>manual-review</x:v>
      </x:c>
      <x:c r="T87" s="4" t="str">
        <x:v>review</x:v>
      </x:c>
      <x:c r="U87" s="10" t="str">
        <x:v>REVIEW-01</x:v>
      </x:c>
      <x:c r="V87" s="10" t="str">
        <x:v>{"adapter_rule_id":"se-ambiguous-pp-review","deprels":["amod","case","compound","det","nmod","obl"],"target_strategy":"anchor-subtree","token_ids":[6,7,8,9,10,11,12,13],"upos":["ADJ","ADP","DET","NOUN"],"xpos":["DT","IN","JJ","JJR","NN"]}</x:v>
      </x:c>
      <x:c r="W87" s="4" t="str">
        <x:v>1.14.0</x:v>
      </x:c>
      <x:c r="X87" s="4" t="str">
        <x:v>51f32c3b4b77d2a460e8aeaeb653dbd240ad270b7f8b42110f509ff87c483711</x:v>
      </x:c>
      <x:c r="Y87" s="4" t="str">
        <x:v>needs-review</x:v>
      </x:c>
      <x:c r="Z87" s="10" t="str">
        <x:v>PP attachment is ambiguous between event adverbial, nominal modifier, and selected complement.</x:v>
      </x:c>
      <x:c r="AA87" s="4" t="str">
        <x:v>manual guard</x:v>
      </x:c>
      <x:c r="AB87" s="16" t="str"/>
      <x:c r="AC87" s="18" t="str"/>
      <x:c r="AD87" s="18" t="str"/>
      <x:c r="AE87" s="18" t="str"/>
      <x:c r="AF87" s="20" t="str"/>
      <x:c r="AG87" s="21"/>
      <x:c r="AH87" s="22" t="str">
        <x:v>PP attachment is ambiguous between event adverbial, nominal modifier, and selected complement.</x:v>
      </x:c>
    </x:row>
    <x:row r="88">
      <x:c r="A88" s="4" t="str">
        <x:v>AUTO-CLAUSE-TYPE-e099e0c267581990</x:v>
      </x:c>
      <x:c r="B88" s="4" t="str">
        <x:v>REMAP-67f2986169a21e146e41</x:v>
      </x:c>
      <x:c r="C88" s="4" t="str">
        <x:v>masc-newspaper-newspaper-nytnewswire6-s0010</x:v>
      </x:c>
      <x:c r="D88" s="4" t="str">
        <x:v>newspaper</x:v>
      </x:c>
      <x:c r="E88" s="4" t="str">
        <x:v>MASC</x:v>
      </x:c>
      <x:c r="F88" s="4" t="str">
        <x:v>intermediate</x:v>
      </x:c>
      <x:c r="G88" s="10" t="str">
        <x:v>The show, along
with her seminal book, "Mastering the Art of French Cooking"
(1961), revolutionized the way America cooks and eats.</x:v>
      </x:c>
      <x:c r="H88" s="10" t="str">
        <x:v>America cooks and eats</x:v>
      </x:c>
      <x:c r="I88" s="4" t="str">
        <x:v>clauses</x:v>
      </x:c>
      <x:c r="J88" s="4" t="str">
        <x:v>Clause type</x:v>
      </x:c>
      <x:c r="K88" s="4" t="str">
        <x:v>clause_type</x:v>
      </x:c>
      <x:c r="L88" s="4" t="str">
        <x:v>Restrictive relative clause — function: PostM</x:v>
      </x:c>
      <x:c r="M88" s="10" t="str">
        <x:v>Restrictive relative clause — function: PostM
Nominal clause — postmodifier of an adjective
Purpose adverbial clause
Conditional adverbial clause</x:v>
      </x:c>
      <x:c r="N88" s="10" t="str">
        <x:v>The highlighted relative clause restricts its antecedent and functions as a postmodifier.</x:v>
      </x:c>
      <x:c r="O88" s="12" t="n">
        <x:v>0.6</x:v>
      </x:c>
      <x:c r="P88" s="4" t="str">
        <x:v>en-1.0.0</x:v>
      </x:c>
      <x:c r="Q88" s="4" t="str">
        <x:v>5cee51d8a950b2e9bdf7133a6d97dcd20d2258c6fbb61e9d97b64b8e7249178d</x:v>
      </x:c>
      <x:c r="R88" s="4" t="str">
        <x:v>clause.relative.zero.review.review.restrictive-relative-clause-function-postm</x:v>
      </x:c>
      <x:c r="S88" s="4" t="str">
        <x:v>manual-review</x:v>
      </x:c>
      <x:c r="T88" s="4" t="str">
        <x:v>review</x:v>
      </x:c>
      <x:c r="U88" s="10" t="str">
        <x:v>CL-REL-02
CL-REL-07</x:v>
      </x:c>
      <x:c r="V88" s="10" t="str">
        <x:v>{"adapter_rule_id":"clause-relative-zero-review","deprels":["acl:relcl","cc","conj","nsubj"],"target_strategy":"clause-subtree","token_ids":[25,26,27,28],"upos":["CCONJ","PROPN","VERB"],"xpos":["CC","NNP","VBZ"]}</x:v>
      </x:c>
      <x:c r="W88" s="4" t="str">
        <x:v>1.14.0</x:v>
      </x:c>
      <x:c r="X88" s="4" t="str">
        <x:v>51f32c3b4b77d2a460e8aeaeb653dbd240ad270b7f8b42110f509ff87c483711</x:v>
      </x:c>
      <x:c r="Y88" s="4" t="str">
        <x:v>needs-review</x:v>
      </x:c>
      <x:c r="Z88" s="10" t="str">
        <x:v>Zero-relative recovery and restrictiveness require review.</x:v>
      </x:c>
      <x:c r="AA88" s="4" t="str">
        <x:v>manual guard</x:v>
      </x:c>
      <x:c r="AB88" s="16" t="str"/>
      <x:c r="AC88" s="18" t="str"/>
      <x:c r="AD88" s="18" t="str"/>
      <x:c r="AE88" s="18" t="str"/>
      <x:c r="AF88" s="20" t="str"/>
      <x:c r="AG88" s="21"/>
      <x:c r="AH88" s="22" t="str">
        <x:v>Zero-relative recovery and restrictiveness require review.</x:v>
      </x:c>
    </x:row>
    <x:row r="89">
      <x:c r="A89" s="4" t="str">
        <x:v>AUTO-SENTENCE-ELEMENT-20dabce3e456f91f</x:v>
      </x:c>
      <x:c r="B89" s="4" t="str">
        <x:v>REMAP-bfd31089b3f78a70cb22</x:v>
      </x:c>
      <x:c r="C89" s="4" t="str">
        <x:v>masc-fiction-fiction-hotel-california-s0082</x:v>
      </x:c>
      <x:c r="D89" s="4" t="str">
        <x:v>fiction</x:v>
      </x:c>
      <x:c r="E89" s="4" t="str">
        <x:v>MASC</x:v>
      </x:c>
      <x:c r="F89" s="4" t="str">
        <x:v>intermediate</x:v>
      </x:c>
      <x:c r="G89" s="10" t="str">
        <x:v>It took me a couple days to realize I was, in fact, still alive.</x:v>
      </x:c>
      <x:c r="H89" s="10" t="str">
        <x:v>It … to realize I was, in fact, still alive</x:v>
      </x:c>
      <x:c r="I89" s="4" t="str">
        <x:v>sentence-elements</x:v>
      </x:c>
      <x:c r="J89" s="4" t="str">
        <x:v>Sentence elements</x:v>
      </x:c>
      <x:c r="K89" s="4" t="str">
        <x:v>sentence_element</x:v>
      </x:c>
      <x:c r="L89" s="4" t="str">
        <x:v>Formal S + Postponed S</x:v>
      </x:c>
      <x:c r="M89" s="10" t="str">
        <x:v>Formal S + Postponed S
A — Adverbial
OC — Object Complement
P — Predicator</x:v>
      </x:c>
      <x:c r="N89" s="10" t="str">
        <x:v>The construction links formal “it” with a postponed clausal subject.</x:v>
      </x:c>
      <x:c r="O89" s="12" t="n">
        <x:v>0.62</x:v>
      </x:c>
      <x:c r="P89" s="4" t="str">
        <x:v>en-1.0.0</x:v>
      </x:c>
      <x:c r="Q89" s="4" t="str">
        <x:v>5cee51d8a950b2e9bdf7133a6d97dcd20d2258c6fbb61e9d97b64b8e7249178d</x:v>
      </x:c>
      <x:c r="R89" s="4" t="str">
        <x:v>se.formal.postponed.subject</x:v>
      </x:c>
      <x:c r="S89" s="4" t="str">
        <x:v>manual-review</x:v>
      </x:c>
      <x:c r="T89" s="4" t="str">
        <x:v>review</x:v>
      </x:c>
      <x:c r="U89" s="10" t="str">
        <x:v>SE-S-06</x:v>
      </x:c>
      <x:c r="V89" s="10" t="str">
        <x:v>{"adapter_rule_id":"se-formal-postponed-subject","deprels":["advmod","case","ccomp","cop","csubj","expl","mark","nsubj","obl","punct"],"target_strategy":"anchor-subtree","token_ids":[1,7,8,9,10,11,12,13,14,15,16],"upos":["ADJ","ADP","ADV","AUX","NOUN","PART","PRON","PUNCT","VERB"],"xpos":[",","IN","JJ","NN","PRP","RB","TO","VB","VBD"]}</x:v>
      </x:c>
      <x:c r="W89" s="4" t="str">
        <x:v>1.14.0</x:v>
      </x:c>
      <x:c r="X89" s="4" t="str">
        <x:v>51f32c3b4b77d2a460e8aeaeb653dbd240ad270b7f8b42110f509ff87c483711</x:v>
      </x:c>
      <x:c r="Y89" s="4" t="str">
        <x:v>needs-review</x:v>
      </x:c>
      <x:c r="Z89" s="10" t="str">
        <x:v>Formal it and the postponed clause must be confirmed as two linked subject annotations.</x:v>
      </x:c>
      <x:c r="AA89" s="4" t="str">
        <x:v>manual guard</x:v>
      </x:c>
      <x:c r="AB89" s="16" t="str"/>
      <x:c r="AC89" s="18" t="str"/>
      <x:c r="AD89" s="18" t="str"/>
      <x:c r="AE89" s="18" t="str"/>
      <x:c r="AF89" s="20" t="str"/>
      <x:c r="AG89" s="21"/>
      <x:c r="AH89" s="22" t="str">
        <x:v>Formal it and the postponed clause must be confirmed as two linked subject annotations.</x:v>
      </x:c>
    </x:row>
    <x:row r="90">
      <x:c r="A90" s="4" t="str">
        <x:v>AUTO-CLAUSE-MARKER-dff0aa0350ca4773</x:v>
      </x:c>
      <x:c r="B90" s="4" t="str">
        <x:v>REMAP-f62f91e5e6ef7d0d2cc9</x:v>
      </x:c>
      <x:c r="C90" s="4" t="str">
        <x:v>masc-journal-journal-article247-327-s0028</x:v>
      </x:c>
      <x:c r="D90" s="4" t="str">
        <x:v>journal</x:v>
      </x:c>
      <x:c r="E90" s="4" t="str">
        <x:v>MASC</x:v>
      </x:c>
      <x:c r="F90" s="4" t="str">
        <x:v>advanced</x:v>
      </x:c>
      <x:c r="G90" s="10" t="str">
        <x:v>She asked if I thought it would be all
right to talk to the Times reporter.</x:v>
      </x:c>
      <x:c r="H90" s="10" t="str">
        <x:v>if</x:v>
      </x:c>
      <x:c r="I90" s="4" t="str">
        <x:v>clauses</x:v>
      </x:c>
      <x:c r="J90" s="4" t="str">
        <x:v>Clause marker</x:v>
      </x:c>
      <x:c r="K90" s="4" t="str">
        <x:v>clause_marker</x:v>
      </x:c>
      <x:c r="L90" s="4" t="str">
        <x:v>Interrogative subordinator</x:v>
      </x:c>
      <x:c r="M90" s="10" t="str">
        <x:v>Interrogative subordinator
Relative adverb
Relative pronoun
Subordinating conjunction</x:v>
      </x:c>
      <x:c r="N90" s="10" t="str">
        <x:v>The highlighted word introduces an embedded question.</x:v>
      </x:c>
      <x:c r="O90" s="12" t="n">
        <x:v>0.6</x:v>
      </x:c>
      <x:c r="P90" s="4" t="str">
        <x:v>en-1.0.0</x:v>
      </x:c>
      <x:c r="Q90" s="4" t="str">
        <x:v>5cee51d8a950b2e9bdf7133a6d97dcd20d2258c6fbb61e9d97b64b8e7249178d</x:v>
      </x:c>
      <x:c r="R90" s="4" t="str">
        <x:v>marker.interrogative.if.review</x:v>
      </x:c>
      <x:c r="S90" s="4" t="str">
        <x:v>manual-review</x:v>
      </x:c>
      <x:c r="T90" s="4" t="str">
        <x:v>review</x:v>
      </x:c>
      <x:c r="U90" s="10" t="str">
        <x:v>CL-MARK-03</x:v>
      </x:c>
      <x:c r="V90" s="10" t="str">
        <x:v>{"adapter_rule_id":"marker-interrogative-if-review","deprels":["mark"],"target_strategy":"anchor-token","token_ids":[3],"upos":["SCONJ"],"xpos":["IN"]}</x:v>
      </x:c>
      <x:c r="W90" s="4" t="str">
        <x:v>1.14.0</x:v>
      </x:c>
      <x:c r="X90" s="4" t="str">
        <x:v>51f32c3b4b77d2a460e8aeaeb653dbd240ad270b7f8b42110f509ff87c483711</x:v>
      </x:c>
      <x:c r="Y90" s="4" t="str">
        <x:v>needs-review</x:v>
      </x:c>
      <x:c r="Z90" s="10" t="str">
        <x:v>Embedded interrogative if must be distinguished from conditional if using the higher construction.</x:v>
      </x:c>
      <x:c r="AA90" s="4" t="str">
        <x:v>manual guard</x:v>
      </x:c>
      <x:c r="AB90" s="16" t="str"/>
      <x:c r="AC90" s="18" t="str"/>
      <x:c r="AD90" s="18" t="str"/>
      <x:c r="AE90" s="18" t="str"/>
      <x:c r="AF90" s="20" t="str"/>
      <x:c r="AG90" s="21"/>
      <x:c r="AH90" s="22" t="str">
        <x:v>Embedded interrogative if must be distinguished from conditional if using the higher construction.</x:v>
      </x:c>
    </x:row>
    <x:row r="91">
      <x:c r="A91" s="4" t="str">
        <x:v>AUTO-SENTENCE-ELEMENT-3a587d2e5f94046c</x:v>
      </x:c>
      <x:c r="B91" s="4" t="str">
        <x:v>REMAP-d174e2a80e99addaefca</x:v>
      </x:c>
      <x:c r="C91" s="4" t="str">
        <x:v>masc-journal-journal-article247-66-s0024</x:v>
      </x:c>
      <x:c r="D91" s="4" t="str">
        <x:v>journal</x:v>
      </x:c>
      <x:c r="E91" s="4" t="str">
        <x:v>MASC</x:v>
      </x:c>
      <x:c r="F91" s="4" t="str">
        <x:v>intermediate</x:v>
      </x:c>
      <x:c r="G91" s="10" t="str">
        <x:v>"You would be laughed at ..." he tells the caller.</x:v>
      </x:c>
      <x:c r="H91" s="10" t="str">
        <x:v>at</x:v>
      </x:c>
      <x:c r="I91" s="4" t="str">
        <x:v>sentence-elements</x:v>
      </x:c>
      <x:c r="J91" s="4" t="str">
        <x:v>Sentence elements</x:v>
      </x:c>
      <x:c r="K91" s="4" t="str">
        <x:v>sentence_element</x:v>
      </x:c>
      <x:c r="L91" s="4" t="str">
        <x:v>A — Adverbial</x:v>
      </x:c>
      <x:c r="M91" s="10" t="str">
        <x:v>A — Adverbial
P — Predicator
Formal S + Postponed S
OC — Object Complement</x:v>
      </x:c>
      <x:c r="N91" s="10" t="str">
        <x:v>The highlighted unit adds circumstantial information to the clause.</x:v>
      </x:c>
      <x:c r="O91" s="12" t="n">
        <x:v>0.55</x:v>
      </x:c>
      <x:c r="P91" s="4" t="str">
        <x:v>en-1.0.0</x:v>
      </x:c>
      <x:c r="Q91" s="4" t="str">
        <x:v>5cee51d8a950b2e9bdf7133a6d97dcd20d2258c6fbb61e9d97b64b8e7249178d</x:v>
      </x:c>
      <x:c r="R91" s="4" t="str">
        <x:v>se.ambiguous.pp.review.review.a-adverbial-a-technical-oblique-relation-d</x:v>
      </x:c>
      <x:c r="S91" s="4" t="str">
        <x:v>manual-review</x:v>
      </x:c>
      <x:c r="T91" s="4" t="str">
        <x:v>review</x:v>
      </x:c>
      <x:c r="U91" s="10" t="str">
        <x:v>REVIEW-01</x:v>
      </x:c>
      <x:c r="V91" s="10" t="str">
        <x:v>{"adapter_rule_id":"se-ambiguous-pp-review","deprels":["obl"],"target_strategy":"anchor-subtree","token_ids":[6],"upos":["ADP"],"xpos":["IN"]}</x:v>
      </x:c>
      <x:c r="W91" s="4" t="str">
        <x:v>1.14.0</x:v>
      </x:c>
      <x:c r="X91" s="4" t="str">
        <x:v>51f32c3b4b77d2a460e8aeaeb653dbd240ad270b7f8b42110f509ff87c483711</x:v>
      </x:c>
      <x:c r="Y91" s="4" t="str">
        <x:v>needs-review</x:v>
      </x:c>
      <x:c r="Z91" s="10" t="str">
        <x:v>A technical oblique relation does not decide whether the phrase is an adverbial or selected complement.</x:v>
      </x:c>
      <x:c r="AA91" s="4" t="str">
        <x:v>manual guard</x:v>
      </x:c>
      <x:c r="AB91" s="16" t="str"/>
      <x:c r="AC91" s="18" t="str"/>
      <x:c r="AD91" s="18" t="str"/>
      <x:c r="AE91" s="18" t="str"/>
      <x:c r="AF91" s="20" t="str"/>
      <x:c r="AG91" s="21"/>
      <x:c r="AH91" s="22" t="str">
        <x:v>A technical oblique relation does not decide whether the phrase is an adverbial or selected complement.</x:v>
      </x:c>
    </x:row>
    <x:row r="92">
      <x:c r="A92" s="4" t="str">
        <x:v>AUTO-CLAUSE-FUNCTION-b7cb34d44553a931</x:v>
      </x:c>
      <x:c r="B92" s="4" t="str">
        <x:v>REMAP-664630051360a0fa4191</x:v>
      </x:c>
      <x:c r="C92" s="4" t="str">
        <x:v>masc-ficlets-ficlets-1402-s0035</x:v>
      </x:c>
      <x:c r="D92" s="4" t="str">
        <x:v>ficlets</x:v>
      </x:c>
      <x:c r="E92" s="4" t="str">
        <x:v>MASC</x:v>
      </x:c>
      <x:c r="F92" s="4" t="str">
        <x:v>basic</x:v>
      </x:c>
      <x:c r="G92" s="10" t="str">
        <x:v>His instinct made him go for one last breath.</x:v>
      </x:c>
      <x:c r="H92" s="10" t="str">
        <x:v>go for one last breath</x:v>
      </x:c>
      <x:c r="I92" s="4" t="str">
        <x:v>clauses</x:v>
      </x:c>
      <x:c r="J92" s="4" t="str">
        <x:v>Clause function</x:v>
      </x:c>
      <x:c r="K92" s="4" t="str">
        <x:v>clause_function</x:v>
      </x:c>
      <x:c r="L92" s="4" t="str">
        <x:v>OC / Clausal object</x:v>
      </x:c>
      <x:c r="M92" s="10" t="str">
        <x:v>OC / Clausal object
DO — Direct Object
S — Subject
SC — Subject Complement</x:v>
      </x:c>
      <x:c r="N92" s="10" t="str">
        <x:v>The highlighted non-finite clause requires the course analysis used for object complementation.</x:v>
      </x:c>
      <x:c r="O92" s="12" t="n">
        <x:v>0.6</x:v>
      </x:c>
      <x:c r="P92" s="4" t="str">
        <x:v>en-1.0.0</x:v>
      </x:c>
      <x:c r="Q92" s="4" t="str">
        <x:v>5cee51d8a950b2e9bdf7133a6d97dcd20d2258c6fbb61e9d97b64b8e7249178d</x:v>
      </x:c>
      <x:c r="R92" s="4" t="str">
        <x:v>function.clause.object.complement.review.review.oc-clausal-object-the-non-finite-clause-ca</x:v>
      </x:c>
      <x:c r="S92" s="4" t="str">
        <x:v>manual-review</x:v>
      </x:c>
      <x:c r="T92" s="4" t="str">
        <x:v>review</x:v>
      </x:c>
      <x:c r="U92" s="10" t="str">
        <x:v>CL-FUNC-06</x:v>
      </x:c>
      <x:c r="V92" s="10" t="str">
        <x:v>{"adapter_rule_id":"function-clause-object-complement-review","deprels":["amod","case","nummod","obl","xcomp"],"target_strategy":"clause-subtree","token_ids":[5,6,7,8,9],"upos":["ADJ","ADP","NOUN","NUM","VERB"],"xpos":["CD","IN","JJ","NN","VB"]}</x:v>
      </x:c>
      <x:c r="W92" s="4" t="str">
        <x:v>1.14.0</x:v>
      </x:c>
      <x:c r="X92" s="4" t="str">
        <x:v>51f32c3b4b77d2a460e8aeaeb653dbd240ad270b7f8b42110f509ff87c483711</x:v>
      </x:c>
      <x:c r="Y92" s="4" t="str">
        <x:v>needs-review</x:v>
      </x:c>
      <x:c r="Z92" s="10" t="str">
        <x:v>The non-finite clause can be analysed as OC or a clausal object depending on the teaching convention.</x:v>
      </x:c>
      <x:c r="AA92" s="4" t="str">
        <x:v>manual guard</x:v>
      </x:c>
      <x:c r="AB92" s="16" t="str"/>
      <x:c r="AC92" s="18" t="str"/>
      <x:c r="AD92" s="18" t="str"/>
      <x:c r="AE92" s="18" t="str"/>
      <x:c r="AF92" s="20" t="str"/>
      <x:c r="AG92" s="21"/>
      <x:c r="AH92" s="22" t="str">
        <x:v>The non-finite clause can be analysed as OC or a clausal object depending on the teaching convention.</x:v>
      </x:c>
    </x:row>
    <x:row r="93">
      <x:c r="A93" s="4" t="str">
        <x:v>AUTO-SENTENCE-ELEMENT-6afdc381b1008630</x:v>
      </x:c>
      <x:c r="B93" s="4" t="str">
        <x:v>REMAP-36ce913fced5547452a0</x:v>
      </x:c>
      <x:c r="C93" s="4" t="str">
        <x:v>masc-blog-blog-uprooted-bike-s0082</x:v>
      </x:c>
      <x:c r="D93" s="4" t="str">
        <x:v>blog</x:v>
      </x:c>
      <x:c r="E93" s="4" t="str">
        <x:v>MASC</x:v>
      </x:c>
      <x:c r="F93" s="4" t="str">
        <x:v>advanced</x:v>
      </x:c>
      <x:c r="G93" s="10" t="str">
        <x:v>One of my dear friends who can't drive to due to combat
injuries had her ride stolen while we were sharing a beer in broad daylight last weekend.</x:v>
      </x:c>
      <x:c r="H93" s="10" t="str">
        <x:v>last weekend</x:v>
      </x:c>
      <x:c r="I93" s="4" t="str">
        <x:v>sentence-elements</x:v>
      </x:c>
      <x:c r="J93" s="4" t="str">
        <x:v>Sentence elements</x:v>
      </x:c>
      <x:c r="K93" s="4" t="str">
        <x:v>sentence_element</x:v>
      </x:c>
      <x:c r="L93" s="4" t="str">
        <x:v>Context needed</x:v>
      </x:c>
      <x:c r="M93" s="10" t="str">
        <x:v>Context needed
Operator
S — Subject
IO — Indirect Object</x:v>
      </x:c>
      <x:c r="N93" s="10" t="str">
        <x:v>The available sentence permits more than one defensible attachment or function, so a manual decision is required.</x:v>
      </x:c>
      <x:c r="O93" s="12" t="n">
        <x:v>0.45</x:v>
      </x:c>
      <x:c r="P93" s="4" t="str">
        <x:v>en-1.0.0</x:v>
      </x:c>
      <x:c r="Q93" s="4" t="str">
        <x:v>5cee51d8a950b2e9bdf7133a6d97dcd20d2258c6fbb61e9d97b64b8e7249178d</x:v>
      </x:c>
      <x:c r="R93" s="4" t="str">
        <x:v>se.ambiguous.pp.review.review.context-needed-pp-attachment-is-ambiguous-</x:v>
      </x:c>
      <x:c r="S93" s="4" t="str">
        <x:v>manual-review</x:v>
      </x:c>
      <x:c r="T93" s="4" t="str">
        <x:v>review</x:v>
      </x:c>
      <x:c r="U93" s="10" t="str">
        <x:v>REVIEW-01</x:v>
      </x:c>
      <x:c r="V93" s="10" t="str">
        <x:v>{"adapter_rule_id":"se-ambiguous-pp-review","deprels":["amod","obl:unmarked"],"target_strategy":"anchor-subtree","token_ids":[28,29],"upos":["ADJ","NOUN"],"xpos":["JJ","NN"]}</x:v>
      </x:c>
      <x:c r="W93" s="4" t="str">
        <x:v>1.14.0</x:v>
      </x:c>
      <x:c r="X93" s="4" t="str">
        <x:v>51f32c3b4b77d2a460e8aeaeb653dbd240ad270b7f8b42110f509ff87c483711</x:v>
      </x:c>
      <x:c r="Y93" s="4" t="str">
        <x:v>needs-review</x:v>
      </x:c>
      <x:c r="Z93" s="10" t="str">
        <x:v>PP attachment is ambiguous between event adverbial, nominal modifier, and selected complement.</x:v>
      </x:c>
      <x:c r="AA93" s="4" t="str">
        <x:v>manual guard</x:v>
      </x:c>
      <x:c r="AB93" s="16" t="str"/>
      <x:c r="AC93" s="18" t="str"/>
      <x:c r="AD93" s="18" t="str"/>
      <x:c r="AE93" s="18" t="str"/>
      <x:c r="AF93" s="20" t="str"/>
      <x:c r="AG93" s="21"/>
      <x:c r="AH93" s="22" t="str">
        <x:v>PP attachment is ambiguous between event adverbial, nominal modifier, and selected complement.</x:v>
      </x:c>
    </x:row>
    <x:row r="94">
      <x:c r="A94" s="4" t="str">
        <x:v>AUTO-SENTENCE-ELEMENT-7bbbf0c614344d25</x:v>
      </x:c>
      <x:c r="B94" s="4" t="str">
        <x:v>REMAP-343df594c8095975c280</x:v>
      </x:c>
      <x:c r="C94" s="4" t="str">
        <x:v>masc-fiction-fiction-the-black-willow-s0097</x:v>
      </x:c>
      <x:c r="D94" s="4" t="str">
        <x:v>fiction</x:v>
      </x:c>
      <x:c r="E94" s="4" t="str">
        <x:v>MASC</x:v>
      </x:c>
      <x:c r="F94" s="4" t="str">
        <x:v>intermediate</x:v>
      </x:c>
      <x:c r="G94" s="10" t="str">
        <x:v>"So, Allan," said Nathan, unfolding and lowering his legs to the roadside, "how goes life for the quintessential American author?"</x:v>
      </x:c>
      <x:c r="H94" s="10" t="str">
        <x:v>for the quintessential American author</x:v>
      </x:c>
      <x:c r="I94" s="4" t="str">
        <x:v>sentence-elements</x:v>
      </x:c>
      <x:c r="J94" s="4" t="str">
        <x:v>Sentence elements</x:v>
      </x:c>
      <x:c r="K94" s="4" t="str">
        <x:v>sentence_element</x:v>
      </x:c>
      <x:c r="L94" s="4" t="str">
        <x:v>Context needed</x:v>
      </x:c>
      <x:c r="M94" s="10" t="str">
        <x:v>Context needed
IO — Indirect Object
SC — Subject Complement
Formal S + Postponed S</x:v>
      </x:c>
      <x:c r="N94" s="10" t="str">
        <x:v>The available sentence permits more than one defensible attachment or function, so a manual decision is required.</x:v>
      </x:c>
      <x:c r="O94" s="12" t="n">
        <x:v>0.45</x:v>
      </x:c>
      <x:c r="P94" s="4" t="str">
        <x:v>en-1.0.0</x:v>
      </x:c>
      <x:c r="Q94" s="4" t="str">
        <x:v>5cee51d8a950b2e9bdf7133a6d97dcd20d2258c6fbb61e9d97b64b8e7249178d</x:v>
      </x:c>
      <x:c r="R94" s="4" t="str">
        <x:v>se.ambiguous.pp.review.review.context-needed-pp-attachment-is-ambiguous-</x:v>
      </x:c>
      <x:c r="S94" s="4" t="str">
        <x:v>manual-review</x:v>
      </x:c>
      <x:c r="T94" s="4" t="str">
        <x:v>review</x:v>
      </x:c>
      <x:c r="U94" s="10" t="str">
        <x:v>REVIEW-01</x:v>
      </x:c>
      <x:c r="V94" s="10" t="str">
        <x:v>{"adapter_rule_id":"se-ambiguous-pp-review","deprels":["amod","case","det","obl"],"target_strategy":"anchor-subtree","token_ids":[23,24,25,26,27],"upos":["ADJ","ADP","DET","NOUN"],"xpos":["DT","IN","JJ","NN"]}</x:v>
      </x:c>
      <x:c r="W94" s="4" t="str">
        <x:v>1.14.0</x:v>
      </x:c>
      <x:c r="X94" s="4" t="str">
        <x:v>51f32c3b4b77d2a460e8aeaeb653dbd240ad270b7f8b42110f509ff87c483711</x:v>
      </x:c>
      <x:c r="Y94" s="4" t="str">
        <x:v>needs-review</x:v>
      </x:c>
      <x:c r="Z94" s="10" t="str">
        <x:v>PP attachment is ambiguous between event adverbial, nominal modifier, and selected complement.</x:v>
      </x:c>
      <x:c r="AA94" s="4" t="str">
        <x:v>manual guard</x:v>
      </x:c>
      <x:c r="AB94" s="16" t="str"/>
      <x:c r="AC94" s="18" t="str"/>
      <x:c r="AD94" s="18" t="str"/>
      <x:c r="AE94" s="18" t="str"/>
      <x:c r="AF94" s="20" t="str"/>
      <x:c r="AG94" s="21"/>
      <x:c r="AH94" s="22" t="str">
        <x:v>PP attachment is ambiguous between event adverbial, nominal modifier, and selected complement.</x:v>
      </x:c>
    </x:row>
    <x:row r="95">
      <x:c r="A95" s="4" t="str">
        <x:v>AUTO-SENTENCE-ELEMENT-cc551cad5c212c69</x:v>
      </x:c>
      <x:c r="B95" s="4" t="str">
        <x:v>REMAP-b1a0669f0771fca6cb02</x:v>
      </x:c>
      <x:c r="C95" s="4" t="str">
        <x:v>masc-spoken-spoken-napierdianne-s0045</x:v>
      </x:c>
      <x:c r="D95" s="4" t="str">
        <x:v>spoken</x:v>
      </x:c>
      <x:c r="E95" s="4" t="str">
        <x:v>MASC</x:v>
      </x:c>
      <x:c r="F95" s="4" t="str">
        <x:v>advanced</x:v>
      </x:c>
      <x:c r="G95" s="10" t="str">
        <x:v>Which is kind of sad that you can't do that anymore and it's not just because things are, there're bad people in the world but it's too much traffic.</x:v>
      </x:c>
      <x:c r="H95" s="10" t="str">
        <x:v>Which … that you can't do that anymore</x:v>
      </x:c>
      <x:c r="I95" s="4" t="str">
        <x:v>sentence-elements</x:v>
      </x:c>
      <x:c r="J95" s="4" t="str">
        <x:v>Sentence elements</x:v>
      </x:c>
      <x:c r="K95" s="4" t="str">
        <x:v>sentence_element</x:v>
      </x:c>
      <x:c r="L95" s="4" t="str">
        <x:v>Formal S + Postponed S</x:v>
      </x:c>
      <x:c r="M95" s="10" t="str">
        <x:v>Formal S + Postponed S
IO — Indirect Object
S — Subject
DO — Direct Object</x:v>
      </x:c>
      <x:c r="N95" s="10" t="str">
        <x:v>The construction links formal “it” with a postponed clausal subject.</x:v>
      </x:c>
      <x:c r="O95" s="12" t="n">
        <x:v>0.62</x:v>
      </x:c>
      <x:c r="P95" s="4" t="str">
        <x:v>en-1.0.0</x:v>
      </x:c>
      <x:c r="Q95" s="4" t="str">
        <x:v>5cee51d8a950b2e9bdf7133a6d97dcd20d2258c6fbb61e9d97b64b8e7249178d</x:v>
      </x:c>
      <x:c r="R95" s="4" t="str">
        <x:v>se.formal.postponed.subject</x:v>
      </x:c>
      <x:c r="S95" s="4" t="str">
        <x:v>manual-review</x:v>
      </x:c>
      <x:c r="T95" s="4" t="str">
        <x:v>review</x:v>
      </x:c>
      <x:c r="U95" s="10" t="str">
        <x:v>SE-S-06</x:v>
      </x:c>
      <x:c r="V95" s="10" t="str">
        <x:v>{"adapter_rule_id":"se-formal-postponed-subject","deprels":["advmod","aux","csubj","expl","mark","nsubj","obj"],"target_strategy":"anchor-subtree","token_ids":[1,6,7,8,9,10,11,12],"upos":["ADV","AUX","PART","PRON","SCONJ","VERB"],"xpos":["DT","IN","MD","PRP","RB","VB","WDT"]}</x:v>
      </x:c>
      <x:c r="W95" s="4" t="str">
        <x:v>1.14.0</x:v>
      </x:c>
      <x:c r="X95" s="4" t="str">
        <x:v>51f32c3b4b77d2a460e8aeaeb653dbd240ad270b7f8b42110f509ff87c483711</x:v>
      </x:c>
      <x:c r="Y95" s="4" t="str">
        <x:v>needs-review</x:v>
      </x:c>
      <x:c r="Z95" s="10" t="str">
        <x:v>Formal it and the postponed clause must be confirmed as two linked subject annotations.</x:v>
      </x:c>
      <x:c r="AA95" s="4" t="str">
        <x:v>manual guard</x:v>
      </x:c>
      <x:c r="AB95" s="16" t="str"/>
      <x:c r="AC95" s="18" t="str"/>
      <x:c r="AD95" s="18" t="str"/>
      <x:c r="AE95" s="18" t="str"/>
      <x:c r="AF95" s="20" t="str"/>
      <x:c r="AG95" s="21"/>
      <x:c r="AH95" s="22" t="str">
        <x:v>Formal it and the postponed clause must be confirmed as two linked subject annotations.</x:v>
      </x:c>
    </x:row>
    <x:row r="96">
      <x:c r="A96" s="4" t="str">
        <x:v>AUTO-CLAUSE-TYPE-469799b934005fdd</x:v>
      </x:c>
      <x:c r="B96" s="4" t="str">
        <x:v>REMAP-75a0812e25b8a3f68ad9</x:v>
      </x:c>
      <x:c r="C96" s="4" t="str">
        <x:v>masc-fiction-fiction-hotel-california-s0261</x:v>
      </x:c>
      <x:c r="D96" s="4" t="str">
        <x:v>fiction</x:v>
      </x:c>
      <x:c r="E96" s="4" t="str">
        <x:v>MASC</x:v>
      </x:c>
      <x:c r="F96" s="4" t="str">
        <x:v>basic</x:v>
      </x:c>
      <x:c r="G96" s="10" t="str">
        <x:v>All we're
doing is existing.</x:v>
      </x:c>
      <x:c r="H96" s="10" t="str">
        <x:v>we're
doing</x:v>
      </x:c>
      <x:c r="I96" s="4" t="str">
        <x:v>clauses</x:v>
      </x:c>
      <x:c r="J96" s="4" t="str">
        <x:v>Clause type</x:v>
      </x:c>
      <x:c r="K96" s="4" t="str">
        <x:v>clause_type</x:v>
      </x:c>
      <x:c r="L96" s="4" t="str">
        <x:v>Restrictive relative clause — function: PostM</x:v>
      </x:c>
      <x:c r="M96" s="10" t="str">
        <x:v>Restrictive relative clause — function: PostM
Dependent verbal question — function: S
Manner / comparison adverbial clause
Temporal adverbial clause</x:v>
      </x:c>
      <x:c r="N96" s="10" t="str">
        <x:v>The highlighted relative clause restricts its antecedent and functions as a postmodifier.</x:v>
      </x:c>
      <x:c r="O96" s="12" t="n">
        <x:v>0.6</x:v>
      </x:c>
      <x:c r="P96" s="4" t="str">
        <x:v>en-1.0.0</x:v>
      </x:c>
      <x:c r="Q96" s="4" t="str">
        <x:v>5cee51d8a950b2e9bdf7133a6d97dcd20d2258c6fbb61e9d97b64b8e7249178d</x:v>
      </x:c>
      <x:c r="R96" s="4" t="str">
        <x:v>clause.relative.zero.review.review.restrictive-relative-clause-function-postm</x:v>
      </x:c>
      <x:c r="S96" s="4" t="str">
        <x:v>manual-review</x:v>
      </x:c>
      <x:c r="T96" s="4" t="str">
        <x:v>review</x:v>
      </x:c>
      <x:c r="U96" s="10" t="str">
        <x:v>CL-REL-02
CL-REL-07</x:v>
      </x:c>
      <x:c r="V96" s="10" t="str">
        <x:v>{"adapter_rule_id":"clause-relative-zero-review","deprels":["acl:relcl","aux","nsubj"],"target_strategy":"clause-subtree","token_ids":[2,3,4],"upos":["AUX","PRON","VERB"],"xpos":["PRP","VBG","VBP"]}</x:v>
      </x:c>
      <x:c r="W96" s="4" t="str">
        <x:v>1.14.0</x:v>
      </x:c>
      <x:c r="X96" s="4" t="str">
        <x:v>51f32c3b4b77d2a460e8aeaeb653dbd240ad270b7f8b42110f509ff87c483711</x:v>
      </x:c>
      <x:c r="Y96" s="4" t="str">
        <x:v>needs-review</x:v>
      </x:c>
      <x:c r="Z96" s="10" t="str">
        <x:v>Zero-relative recovery and restrictiveness require review.</x:v>
      </x:c>
      <x:c r="AA96" s="4" t="str">
        <x:v>manual guard</x:v>
      </x:c>
      <x:c r="AB96" s="16" t="str"/>
      <x:c r="AC96" s="18" t="str"/>
      <x:c r="AD96" s="18" t="str"/>
      <x:c r="AE96" s="18" t="str"/>
      <x:c r="AF96" s="20" t="str"/>
      <x:c r="AG96" s="21"/>
      <x:c r="AH96" s="22" t="str">
        <x:v>Zero-relative recovery and restrictiveness require review.</x:v>
      </x:c>
    </x:row>
    <x:row r="97">
      <x:c r="A97" s="4" t="str">
        <x:v>AUTO-CLAUSE-TYPE-64e57b6df7da080a</x:v>
      </x:c>
      <x:c r="B97" s="4" t="str">
        <x:v>REMAP-a0bc725a656574cae80b</x:v>
      </x:c>
      <x:c r="C97" s="4" t="str">
        <x:v>masc-journal-journal-articleip-1060-s0035</x:v>
      </x:c>
      <x:c r="D97" s="4" t="str">
        <x:v>journal</x:v>
      </x:c>
      <x:c r="E97" s="4" t="str">
        <x:v>MASC</x:v>
      </x:c>
      <x:c r="F97" s="4" t="str">
        <x:v>basic</x:v>
      </x:c>
      <x:c r="G97" s="10" t="str">
        <x:v>None of the
methods for predicting viability are very precise.</x:v>
      </x:c>
      <x:c r="H97" s="10" t="str">
        <x:v>None of the
methods … are very precise</x:v>
      </x:c>
      <x:c r="I97" s="4" t="str">
        <x:v>clauses</x:v>
      </x:c>
      <x:c r="J97" s="4" t="str">
        <x:v>Clause type</x:v>
      </x:c>
      <x:c r="K97" s="4" t="str">
        <x:v>clause_type</x:v>
      </x:c>
      <x:c r="L97" s="4" t="str">
        <x:v>Main clause</x:v>
      </x:c>
      <x:c r="M97" s="10" t="str">
        <x:v>Main clause
Dependent verbal question — function: S
Concessive adverbial clause
Conditional adverbial clause</x:v>
      </x:c>
      <x:c r="N97" s="10" t="str">
        <x:v>The highlighted clause is the independent main clause of the sentence.</x:v>
      </x:c>
      <x:c r="O97" s="12" t="n">
        <x:v>0.58</x:v>
      </x:c>
      <x:c r="P97" s="4" t="str">
        <x:v>en-1.0.0</x:v>
      </x:c>
      <x:c r="Q97" s="4" t="str">
        <x:v>5cee51d8a950b2e9bdf7133a6d97dcd20d2258c6fbb61e9d97b64b8e7249178d</x:v>
      </x:c>
      <x:c r="R97" s="4" t="str">
        <x:v>clause.main.complex.review</x:v>
      </x:c>
      <x:c r="S97" s="4" t="str">
        <x:v>manual-review</x:v>
      </x:c>
      <x:c r="T97" s="4" t="str">
        <x:v>review</x:v>
      </x:c>
      <x:c r="U97" s="10" t="str">
        <x:v>CL-MAIN-01</x:v>
      </x:c>
      <x:c r="V97" s="10" t="str">
        <x:v>{"adapter_rule_id":"clause-main-complex-review","deprels":["advmod","case","cop","det","nmod","nsubj","root"],"target_strategy":"clause-subtree","token_ids":[1,2,3,4,8,9,10],"upos":["ADJ","ADP","ADV","AUX","DET","NOUN","PRON"],"xpos":["DT","IN","JJ","NN","NNS","RB","VBP"]}</x:v>
      </x:c>
      <x:c r="W97" s="4" t="str">
        <x:v>1.14.0</x:v>
      </x:c>
      <x:c r="X97" s="4" t="str">
        <x:v>51f32c3b4b77d2a460e8aeaeb653dbd240ad270b7f8b42110f509ff87c483711</x:v>
      </x:c>
      <x:c r="Y97" s="4" t="str">
        <x:v>needs-review</x:v>
      </x:c>
      <x:c r="Z97" s="10" t="str">
        <x:v>Nested clause boundaries make the matrix clause discontinuous; confirm the teaching highlight.</x:v>
      </x:c>
      <x:c r="AA97" s="4" t="str">
        <x:v>manual guard</x:v>
      </x:c>
      <x:c r="AB97" s="16" t="str"/>
      <x:c r="AC97" s="18" t="str"/>
      <x:c r="AD97" s="18" t="str"/>
      <x:c r="AE97" s="18" t="str"/>
      <x:c r="AF97" s="20" t="str"/>
      <x:c r="AG97" s="21"/>
      <x:c r="AH97" s="22" t="str">
        <x:v>Nested clause boundaries make the matrix clause discontinuous; confirm the teaching highlight.</x:v>
      </x:c>
    </x:row>
    <x:row r="98">
      <x:c r="A98" s="4" t="str">
        <x:v>AUTO-SENTENCE-ELEMENT-61da1c48e52f10f4</x:v>
      </x:c>
      <x:c r="B98" s="4" t="str">
        <x:v>REMAP-80dbedb04859530d79f2</x:v>
      </x:c>
      <x:c r="C98" s="4" t="str">
        <x:v>masc-government-government-protocol-regarding-access-s0017</x:v>
      </x:c>
      <x:c r="D98" s="4" t="str">
        <x:v>government</x:v>
      </x:c>
      <x:c r="E98" s="4" t="str">
        <x:v>MASC</x:v>
      </x:c>
      <x:c r="F98" s="4" t="str">
        <x:v>advanced</x:v>
      </x:c>
      <x:c r="G98" s="10" t="str">
        <x:v>However, the LSC Act recognizes that some records contain
information that is protected by the attorney-client privilege
and/or attorney's ethical responsibilities under rules of
professional responsibility.</x:v>
      </x:c>
      <x:c r="H98" s="10" t="str">
        <x:v>that some records contain
information that is protected by the attorney-client privilege
and/or attorney's ethical responsibilities under rules of
professional responsibility</x:v>
      </x:c>
      <x:c r="I98" s="4" t="str">
        <x:v>sentence-elements</x:v>
      </x:c>
      <x:c r="J98" s="4" t="str">
        <x:v>Sentence elements</x:v>
      </x:c>
      <x:c r="K98" s="4" t="str">
        <x:v>sentence_element</x:v>
      </x:c>
      <x:c r="L98" s="4" t="str">
        <x:v>DO — Direct Object</x:v>
      </x:c>
      <x:c r="M98" s="10" t="str">
        <x:v>DO — Direct Object
Context needed
A + A — two Adverbials
P — Predicator</x:v>
      </x:c>
      <x:c r="N98" s="10" t="str">
        <x:v>The highlighted unit is the direct object: it is directly affected by the verb.</x:v>
      </x:c>
      <x:c r="O98" s="12" t="n">
        <x:v>0.59</x:v>
      </x:c>
      <x:c r="P98" s="4" t="str">
        <x:v>en-1.0.0</x:v>
      </x:c>
      <x:c r="Q98" s="4" t="str">
        <x:v>5cee51d8a950b2e9bdf7133a6d97dcd20d2258c6fbb61e9d97b64b8e7249178d</x:v>
      </x:c>
      <x:c r="R98" s="4" t="str">
        <x:v>se.clausal.direct.object.review</x:v>
      </x:c>
      <x:c r="S98" s="4" t="str">
        <x:v>manual-review</x:v>
      </x:c>
      <x:c r="T98" s="4" t="str">
        <x:v>review</x:v>
      </x:c>
      <x:c r="U98" s="10" t="str">
        <x:v>SE-DO-04
SE-DO-05
SE-DO-06</x:v>
      </x:c>
      <x:c r="V98" s="10" t="str">
        <x:v>{"adapter_rule_id":"se-clausal-direct-object","deprels":["acl:relcl","amod","aux:pass","case","cc","ccomp","compound","conj","det","mark","nmod","nmod:poss","nsubj","nsubj:pass","obj","obl","obl:agent","punct"],"target_strategy":"anchor-subtree","token_ids":[7,8,9,10,11,12,13,14,15,16,17,18,19,20,21,22,23,24,25,26,27,28,29,30,31,32],"upos":["ADJ","ADP","AUX","CCONJ","DET","NOUN","PART","PRON","PUNCT","SCONJ","SYM","VERB"],"xpos":["CC","DT","HYPH","IN","JJ","NN","NNS","POS","SYM","VBN","VBP","VBZ","WDT"]}</x:v>
      </x:c>
      <x:c r="W98" s="4" t="str">
        <x:v>1.14.0</x:v>
      </x:c>
      <x:c r="X98" s="4" t="str">
        <x:v>51f32c3b4b77d2a460e8aeaeb653dbd240ad270b7f8b42110f509ff87c483711</x:v>
      </x:c>
      <x:c r="Y98" s="4" t="str">
        <x:v>needs-review</x:v>
      </x:c>
      <x:c r="Z98" s="10" t="str">
        <x:v>The matrix verb does not license an automatic clausal-DO analysis.</x:v>
      </x:c>
      <x:c r="AA98" s="4" t="str">
        <x:v>manual guard</x:v>
      </x:c>
      <x:c r="AB98" s="16" t="str"/>
      <x:c r="AC98" s="18" t="str"/>
      <x:c r="AD98" s="18" t="str"/>
      <x:c r="AE98" s="18" t="str"/>
      <x:c r="AF98" s="20" t="str"/>
      <x:c r="AG98" s="21"/>
      <x:c r="AH98" s="22" t="str">
        <x:v>The matrix verb does not license an automatic clausal-DO analysis.</x:v>
      </x:c>
    </x:row>
    <x:row r="99">
      <x:c r="A99" s="4" t="str">
        <x:v>AUTO-SENTENCE-ELEMENT-c4e8e7d67673f8a7</x:v>
      </x:c>
      <x:c r="B99" s="4" t="str">
        <x:v>REMAP-1b202a4d985732cc3e6f</x:v>
      </x:c>
      <x:c r="C99" s="4" t="str">
        <x:v>oanc-government-government-poor-lacking-legal-aid-s0015</x:v>
      </x:c>
      <x:c r="D99" s="4" t="str">
        <x:v>government</x:v>
      </x:c>
      <x:c r="E99" s="4" t="str">
        <x:v>OANC</x:v>
      </x:c>
      <x:c r="F99" s="4" t="str">
        <x:v>basic</x:v>
      </x:c>
      <x:c r="G99" s="10" t="str">
        <x:v>In 2000, Legal Services-funded offices handled more than 1
million civil cases.</x:v>
      </x:c>
      <x:c r="H99" s="10" t="str">
        <x:v>In 2000</x:v>
      </x:c>
      <x:c r="I99" s="4" t="str">
        <x:v>sentence-elements</x:v>
      </x:c>
      <x:c r="J99" s="4" t="str">
        <x:v>Sentence elements</x:v>
      </x:c>
      <x:c r="K99" s="4" t="str">
        <x:v>sentence_element</x:v>
      </x:c>
      <x:c r="L99" s="4" t="str">
        <x:v>Context needed</x:v>
      </x:c>
      <x:c r="M99" s="10" t="str">
        <x:v>Context needed
Operator
IO — Indirect Object
DO — Direct Object</x:v>
      </x:c>
      <x:c r="N99" s="10" t="str">
        <x:v>The available sentence permits more than one defensible attachment or function, so a manual decision is required.</x:v>
      </x:c>
      <x:c r="O99" s="12" t="n">
        <x:v>0.45</x:v>
      </x:c>
      <x:c r="P99" s="4" t="str">
        <x:v>en-1.0.0</x:v>
      </x:c>
      <x:c r="Q99" s="4" t="str">
        <x:v>5cee51d8a950b2e9bdf7133a6d97dcd20d2258c6fbb61e9d97b64b8e7249178d</x:v>
      </x:c>
      <x:c r="R99" s="4" t="str">
        <x:v>se.ambiguous.pp.review.review.context-needed-pp-attachment-is-ambiguous-</x:v>
      </x:c>
      <x:c r="S99" s="4" t="str">
        <x:v>manual-review</x:v>
      </x:c>
      <x:c r="T99" s="4" t="str">
        <x:v>review</x:v>
      </x:c>
      <x:c r="U99" s="10" t="str">
        <x:v>REVIEW-01</x:v>
      </x:c>
      <x:c r="V99" s="10" t="str">
        <x:v>{"adapter_rule_id":"se-ambiguous-pp-review","deprels":["case","obl"],"target_strategy":"anchor-subtree","token_ids":[1,2],"upos":["ADP","NUM"],"xpos":["CD","IN"]}</x:v>
      </x:c>
      <x:c r="W99" s="4" t="str">
        <x:v>1.14.0</x:v>
      </x:c>
      <x:c r="X99" s="4" t="str">
        <x:v>51f32c3b4b77d2a460e8aeaeb653dbd240ad270b7f8b42110f509ff87c483711</x:v>
      </x:c>
      <x:c r="Y99" s="4" t="str">
        <x:v>needs-review</x:v>
      </x:c>
      <x:c r="Z99" s="10" t="str">
        <x:v>PP attachment is ambiguous between event adverbial, nominal modifier, and selected complement.</x:v>
      </x:c>
      <x:c r="AA99" s="4" t="str">
        <x:v>manual guard</x:v>
      </x:c>
      <x:c r="AB99" s="16" t="str"/>
      <x:c r="AC99" s="18" t="str"/>
      <x:c r="AD99" s="18" t="str"/>
      <x:c r="AE99" s="18" t="str"/>
      <x:c r="AF99" s="20" t="str"/>
      <x:c r="AG99" s="21"/>
      <x:c r="AH99" s="22" t="str">
        <x:v>PP attachment is ambiguous between event adverbial, nominal modifier, and selected complement.</x:v>
      </x:c>
    </x:row>
    <x:row r="100">
      <x:c r="A100" s="4" t="str">
        <x:v>AUTO-CLAUSE-FUNCTION-59e6f8cf53c91d6b</x:v>
      </x:c>
      <x:c r="B100" s="4" t="str">
        <x:v>REMAP-5828e6528c5c828f6db1</x:v>
      </x:c>
      <x:c r="C100" s="4" t="str">
        <x:v>oanc-technical-biomed-bcr588-s0108</x:v>
      </x:c>
      <x:c r="D100" s="4" t="str">
        <x:v>technical</x:v>
      </x:c>
      <x:c r="E100" s="4" t="str">
        <x:v>OANC</x:v>
      </x:c>
      <x:c r="F100" s="4" t="str">
        <x:v>advanced</x:v>
      </x:c>
      <x:c r="G100" s="10" t="str">
        <x:v>In this study we evaluated whether
        Met can be detected in the axillary drainage of breast
        cancer patients, and the significance of its expression in
        the lymphatic fluid.</x:v>
      </x:c>
      <x:c r="H100" s="10" t="str">
        <x:v>whether
        Met can be detected in the axillary drainage of breast
        cancer patients, and the significance of its expression in
        the lymphatic fluid</x:v>
      </x:c>
      <x:c r="I100" s="4" t="str">
        <x:v>clauses</x:v>
      </x:c>
      <x:c r="J100" s="4" t="str">
        <x:v>Clause function</x:v>
      </x:c>
      <x:c r="K100" s="4" t="str">
        <x:v>clause_function</x:v>
      </x:c>
      <x:c r="L100" s="4" t="str">
        <x:v>DO — Direct Object</x:v>
      </x:c>
      <x:c r="M100" s="10" t="str">
        <x:v>DO — Direct Object
SC — Subject Complement
S — Subject
OC / Clausal object</x:v>
      </x:c>
      <x:c r="N100" s="10" t="str">
        <x:v>The highlighted clause functions as the direct object of the higher verb.</x:v>
      </x:c>
      <x:c r="O100" s="12" t="n">
        <x:v>0.58</x:v>
      </x:c>
      <x:c r="P100" s="4" t="str">
        <x:v>en-1.0.0</x:v>
      </x:c>
      <x:c r="Q100" s="4" t="str">
        <x:v>5cee51d8a950b2e9bdf7133a6d97dcd20d2258c6fbb61e9d97b64b8e7249178d</x:v>
      </x:c>
      <x:c r="R100" s="4" t="str">
        <x:v>function.clause.direct.object.review.do-direct-object-the-higher-clause-functio</x:v>
      </x:c>
      <x:c r="S100" s="4" t="str">
        <x:v>manual-review</x:v>
      </x:c>
      <x:c r="T100" s="4" t="str">
        <x:v>review</x:v>
      </x:c>
      <x:c r="U100" s="10" t="str">
        <x:v>CL-FUNC-02</x:v>
      </x:c>
      <x:c r="V100" s="10" t="str">
        <x:v>{"adapter_rule_id":"function-clause-direct-object","deprels":["amod","aux","aux:pass","case","cc","ccomp","compound","conj","det","mark","nmod","nmod:poss","nsubj:pass","obl","punct"],"target_strategy":"clause-subtree","token_ids":[6,7,8,9,10,11,12,13,14,15,16,17,18,19,20,21,22,23,24,25,26,27,28,29],"upos":["ADJ","ADP","AUX","CCONJ","DET","NOUN","PRON","PUNCT","SCONJ","VERB"],"xpos":[",","CC","DT","IN","JJ","MD","NN","NNS","PRP$","VB","VBN"]}</x:v>
      </x:c>
      <x:c r="W100" s="4" t="str">
        <x:v>1.14.0</x:v>
      </x:c>
      <x:c r="X100" s="4" t="str">
        <x:v>51f32c3b4b77d2a460e8aeaeb653dbd240ad270b7f8b42110f509ff87c483711</x:v>
      </x:c>
      <x:c r="Y100" s="4" t="str">
        <x:v>needs-review</x:v>
      </x:c>
      <x:c r="Z100" s="10" t="str">
        <x:v>The higher-clause function depends on the matrix predicate.</x:v>
      </x:c>
      <x:c r="AA100" s="4" t="str">
        <x:v>manual guard</x:v>
      </x:c>
      <x:c r="AB100" s="16" t="str"/>
      <x:c r="AC100" s="18" t="str"/>
      <x:c r="AD100" s="18" t="str"/>
      <x:c r="AE100" s="18" t="str"/>
      <x:c r="AF100" s="20" t="str"/>
      <x:c r="AG100" s="21"/>
      <x:c r="AH100" s="22" t="str">
        <x:v>The higher-clause function depends on the matrix predicate.</x:v>
      </x:c>
    </x:row>
    <x:row r="101">
      <x:c r="A101" s="5" t="str">
        <x:v>AUTO-SENTENCE-ELEMENT-7dd0b387e4047d4f</x:v>
      </x:c>
      <x:c r="B101" s="5" t="str">
        <x:v>REMAP-152ae5413333b1cd224e</x:v>
      </x:c>
      <x:c r="C101" s="5" t="str">
        <x:v>oanc-letters-icic-502c-l079-s0003</x:v>
      </x:c>
      <x:c r="D101" s="5" t="str">
        <x:v>letters</x:v>
      </x:c>
      <x:c r="E101" s="5" t="str">
        <x:v>OANC</x:v>
      </x:c>
      <x:c r="F101" s="5" t="str">
        <x:v>advanced</x:v>
      </x:c>
      <x:c r="G101" s="11" t="str">
        <x:v>Was
      it as recently as last year that you could find your way around, or has
      it been so long that if you were to visit the main campus you could not
      recognize it?</x:v>
      </x:c>
      <x:c r="H101" s="11" t="str">
        <x:v>that</x:v>
      </x:c>
      <x:c r="I101" s="5" t="str">
        <x:v>sentence-elements</x:v>
      </x:c>
      <x:c r="J101" s="5" t="str">
        <x:v>Sentence elements</x:v>
      </x:c>
      <x:c r="K101" s="5" t="str">
        <x:v>sentence_element</x:v>
      </x:c>
      <x:c r="L101" s="5" t="str">
        <x:v>Context needed</x:v>
      </x:c>
      <x:c r="M101" s="11" t="str">
        <x:v>Context needed
SC — Subject Complement
DO — Direct Object
OC — Object Complement</x:v>
      </x:c>
      <x:c r="N101" s="11" t="str">
        <x:v>The available sentence permits more than one defensible attachment or function, so a manual decision is required.</x:v>
      </x:c>
      <x:c r="O101" s="13" t="n">
        <x:v>0.45</x:v>
      </x:c>
      <x:c r="P101" s="5" t="str">
        <x:v>en-1.0.0</x:v>
      </x:c>
      <x:c r="Q101" s="5" t="str">
        <x:v>5cee51d8a950b2e9bdf7133a6d97dcd20d2258c6fbb61e9d97b64b8e7249178d</x:v>
      </x:c>
      <x:c r="R101" s="5" t="str">
        <x:v>se.ambiguous.pp.review.review.context-needed-pp-attachment-is-ambiguous-</x:v>
      </x:c>
      <x:c r="S101" s="5" t="str">
        <x:v>manual-review</x:v>
      </x:c>
      <x:c r="T101" s="5" t="str">
        <x:v>review</x:v>
      </x:c>
      <x:c r="U101" s="11" t="str">
        <x:v>REVIEW-01</x:v>
      </x:c>
      <x:c r="V101" s="11" t="str">
        <x:v>{"adapter_rule_id":"se-ambiguous-pp-review","deprels":["obl:unmarked"],"target_strategy":"anchor-subtree","token_ids":[8],"upos":["PRON"],"xpos":["WDT"]}</x:v>
      </x:c>
      <x:c r="W101" s="5" t="str">
        <x:v>1.14.0</x:v>
      </x:c>
      <x:c r="X101" s="5" t="str">
        <x:v>51f32c3b4b77d2a460e8aeaeb653dbd240ad270b7f8b42110f509ff87c483711</x:v>
      </x:c>
      <x:c r="Y101" s="5" t="str">
        <x:v>needs-review</x:v>
      </x:c>
      <x:c r="Z101" s="11" t="str">
        <x:v>Incompatible formal rules matched the same sentence/dimension/target: Context needed, OC — Object Complement</x:v>
      </x:c>
      <x:c r="AA101" s="5" t="str">
        <x:v>conflict</x:v>
      </x:c>
      <x:c r="AB101" s="17" t="str"/>
      <x:c r="AC101" s="19" t="str"/>
      <x:c r="AD101" s="19" t="str"/>
      <x:c r="AE101" s="19" t="str"/>
      <x:c r="AF101" s="23" t="str"/>
      <x:c r="AG101" s="24"/>
      <x:c r="AH101" s="25" t="str">
        <x:v>Incompatible formal rules matched the same sentence/dimension/target: Context needed, OC — Object Complement</x:v>
      </x:c>
    </x:row>
  </x:sheetData>
  <x:conditionalFormatting sqref="AB2:AB101">
    <x:cfRule type="containsText" dxfId="0" priority="1" operator="containsText" text="reject"/>
    <x:cfRule type="containsText" dxfId="1" priority="2" operator="containsText" text="accept"/>
  </x:conditionalFormatting>
  <x:dataValidations count="1">
    <x:dataValidation type="list" sqref="AB2:AB101">
      <x:formula1>"accept,correct,reject"</x:formula1>
    </x:dataValidation>
  </x:dataValidations>
  <x:pageMargins left="0.7" right="0.7" top="0.75" bottom="0.75" header="0.3" footer="0.3"/>
  <x:tableParts count="1">
    <x:tablePart xmlns:r="http://schemas.openxmlformats.org/officeDocument/2006/relationships" r:id="R1a23067532f04cc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6.25" hidden="0" customWidth="1"/>
    <x:col min="2" max="2" width="65" hidden="0" customWidth="1"/>
  </x:cols>
  <x:sheetData>
    <x:row r="1" ht="31.5" customHeight="1">
      <x:c r="A1" s="28" t="str">
        <x:v>Formal remap manual-review sample</x:v>
      </x:c>
      <x:c r="B1" s="28" t="str">
        <x:v>Formal remap manual-review sample</x:v>
      </x:c>
      <x:c r="C1" s="28" t="str">
        <x:v>Formal remap manual-review sample</x:v>
      </x:c>
      <x:c r="D1" s="28" t="str">
        <x:v>Formal remap manual-review sample</x:v>
      </x:c>
    </x:row>
    <x:row r="3">
      <x:c r="A3" s="33" t="str">
        <x:v>Profile</x:v>
      </x:c>
      <x:c r="B3" s="34" t="str">
        <x:v>en-1.0.0</x:v>
      </x:c>
    </x:row>
    <x:row r="4">
      <x:c r="A4" s="35" t="str">
        <x:v>Profile SHA-256</x:v>
      </x:c>
      <x:c r="B4" s="36" t="str">
        <x:v>5cee51d8a950b2e9bdf7133a6d97dcd20d2258c6fbb61e9d97b64b8e7249178d</x:v>
      </x:c>
    </x:row>
    <x:row r="5">
      <x:c r="A5" s="35" t="str">
        <x:v>All presentation candidates</x:v>
      </x:c>
      <x:c r="B5" s="39" t="n">
        <x:v>119261</x:v>
      </x:c>
    </x:row>
    <x:row r="6">
      <x:c r="A6" s="35" t="str">
        <x:v>All review-only candidates</x:v>
      </x:c>
      <x:c r="B6" s="39" t="n">
        <x:v>17114</x:v>
      </x:c>
    </x:row>
    <x:row r="7">
      <x:c r="A7" s="35" t="str"/>
      <x:c r="B7" s="39" t="str"/>
    </x:row>
    <x:row r="8">
      <x:c r="A8" s="35" t="str">
        <x:v>Sample rows</x:v>
      </x:c>
      <x:c r="B8" s="39" t="n">
        <x:f>COUNTA('Manual review sample'!$A$2:$A$101)</x:f>
        <x:v>100</x:v>
      </x:c>
    </x:row>
    <x:row r="9">
      <x:c r="A9" s="35" t="str">
        <x:v>Manual guards</x:v>
      </x:c>
      <x:c r="B9" s="39" t="n">
        <x:f>COUNTIF('Manual review sample'!$AA$2:$AA$101,"manual guard")</x:f>
        <x:v>93</x:v>
      </x:c>
    </x:row>
    <x:row r="10">
      <x:c r="A10" s="35" t="str">
        <x:v>Conflict downgrades</x:v>
      </x:c>
      <x:c r="B10" s="39" t="n">
        <x:f>COUNTIF('Manual review sample'!$AA$2:$AA$101,"conflict")</x:f>
        <x:v>7</x:v>
      </x:c>
    </x:row>
    <x:row r="11">
      <x:c r="A11" s="35" t="str">
        <x:v>Parser mismatches</x:v>
      </x:c>
      <x:c r="B11" s="39" t="n">
        <x:f>COUNTIF('Manual review sample'!$AA$2:$AA$101,"parser mismatch")</x:f>
        <x:v>0</x:v>
      </x:c>
    </x:row>
    <x:row r="12">
      <x:c r="A12" s="35" t="str"/>
      <x:c r="B12" s="36" t="str"/>
    </x:row>
    <x:row r="13">
      <x:c r="A13" s="37" t="str">
        <x:v>Stratified by</x:v>
      </x:c>
      <x:c r="B13" s="38" t="str">
        <x:v>formal rule, answer, review reason, genre, difficulty, source corpus</x:v>
      </x:c>
    </x:row>
  </x:sheetData>
  <x:mergeCells>
    <x:mergeCell ref="A1:D1"/>
  </x:mergeCells>
  <x:pageMargins left="0.7" right="0.7" top="0.75" bottom="0.75" header="0.3" footer="0.3"/>
</x:worksheet>
</file>